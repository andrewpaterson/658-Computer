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inout" sheetId="1" state="visible" r:id="rId3"/>
    <sheet name="Registers" sheetId="2" state="visible" r:id="rId4"/>
    <sheet name="Instructions" sheetId="3" state="visible" r:id="rId5"/>
    <sheet name="Addressing modes" sheetId="4" state="visible" r:id="rId6"/>
    <sheet name="Opcode encoding" sheetId="5" state="visible" r:id="rId7"/>
    <sheet name="Operand encoding" sheetId="6" state="visible" r:id="rId8"/>
    <sheet name="Memory map" sheetId="7" state="visible" r:id="rId9"/>
    <sheet name="Hardware registers" sheetId="8" state="visible" r:id="rId10"/>
    <sheet name="Memory bank remapping" sheetId="9" state="visible" r:id="rId11"/>
    <sheet name="Example Block Move" sheetId="10" state="visible" r:id="rId12"/>
    <sheet name="Example VM fetch" sheetId="11" state="visible" r:id="rId13"/>
    <sheet name="Example Arithmetic Shift" sheetId="12" state="visible" r:id="rId14"/>
    <sheet name="Multiplication" sheetId="13" state="visible" r:id="rId15"/>
    <sheet name="Division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<sst xmlns="http://schemas.openxmlformats.org/spreadsheetml/2006/main" count="2581" uniqueCount="1344">
  <si>
    <t xml:space="preserve">Pin number</t>
  </si>
  <si>
    <t xml:space="preserve">Pin name</t>
  </si>
  <si>
    <t xml:space="preserve">Electrical</t>
  </si>
  <si>
    <t xml:space="preserve">W65C816</t>
  </si>
  <si>
    <t xml:space="preserve">Description</t>
  </si>
  <si>
    <t xml:space="preserve">A2</t>
  </si>
  <si>
    <t xml:space="preserve">Output, Hi-Z</t>
  </si>
  <si>
    <t xml:space="preserve">A0 – A31: Address bus.</t>
  </si>
  <si>
    <t xml:space="preserve">2 – 5</t>
  </si>
  <si>
    <t xml:space="preserve">A3 – A6</t>
  </si>
  <si>
    <t xml:space="preserve">A3 – A5</t>
  </si>
  <si>
    <t xml:space="preserve">VSS</t>
  </si>
  <si>
    <t xml:space="preserve">Power</t>
  </si>
  <si>
    <t xml:space="preserve">Processor ground voltage.</t>
  </si>
  <si>
    <t xml:space="preserve">A7</t>
  </si>
  <si>
    <t xml:space="preserve">A8</t>
  </si>
  <si>
    <t xml:space="preserve">VDD</t>
  </si>
  <si>
    <t xml:space="preserve">Processor positive voltage.</t>
  </si>
  <si>
    <t xml:space="preserve">A9</t>
  </si>
  <si>
    <t xml:space="preserve">A8 – A14</t>
  </si>
  <si>
    <t xml:space="preserve">11 – 16</t>
  </si>
  <si>
    <t xml:space="preserve">A15</t>
  </si>
  <si>
    <t xml:space="preserve">A16</t>
  </si>
  <si>
    <t xml:space="preserve">BA0</t>
  </si>
  <si>
    <t xml:space="preserve">A17</t>
  </si>
  <si>
    <t xml:space="preserve">BA1</t>
  </si>
  <si>
    <t xml:space="preserve">A18</t>
  </si>
  <si>
    <t xml:space="preserve">BA2</t>
  </si>
  <si>
    <t xml:space="preserve">22 – 30</t>
  </si>
  <si>
    <t xml:space="preserve">A19 – A27</t>
  </si>
  <si>
    <t xml:space="preserve">BA3 – BA7</t>
  </si>
  <si>
    <t xml:space="preserve">VSSIO</t>
  </si>
  <si>
    <t xml:space="preserve">Programmable IO ground voltage.</t>
  </si>
  <si>
    <t xml:space="preserve">A28</t>
  </si>
  <si>
    <t xml:space="preserve">A29</t>
  </si>
  <si>
    <t xml:space="preserve">VDDIO</t>
  </si>
  <si>
    <t xml:space="preserve">A30</t>
  </si>
  <si>
    <t xml:space="preserve">Tri-state</t>
  </si>
  <si>
    <t xml:space="preserve">A31</t>
  </si>
  <si>
    <t xml:space="preserve">P0</t>
  </si>
  <si>
    <t xml:space="preserve">P0 – P31: Programmable IO pins.</t>
  </si>
  <si>
    <t xml:space="preserve">38 – 45</t>
  </si>
  <si>
    <t xml:space="preserve">P1 – P8</t>
  </si>
  <si>
    <t xml:space="preserve">P9</t>
  </si>
  <si>
    <t xml:space="preserve">P10</t>
  </si>
  <si>
    <t xml:space="preserve">P11</t>
  </si>
  <si>
    <t xml:space="preserve">51 – 52</t>
  </si>
  <si>
    <t xml:space="preserve">P12 – P13</t>
  </si>
  <si>
    <t xml:space="preserve">P14</t>
  </si>
  <si>
    <t xml:space="preserve">P15</t>
  </si>
  <si>
    <t xml:space="preserve">P16</t>
  </si>
  <si>
    <t xml:space="preserve">58 – 72</t>
  </si>
  <si>
    <t xml:space="preserve">P17 – P31</t>
  </si>
  <si>
    <t xml:space="preserve">Clock ÷ 4</t>
  </si>
  <si>
    <t xml:space="preserve">Input</t>
  </si>
  <si>
    <t xml:space="preserve">Pull low to divide the processor clock by 4.</t>
  </si>
  <si>
    <t xml:space="preserve">Clock ÷ 2</t>
  </si>
  <si>
    <t xml:space="preserve">Pull low to divide the processor clock by 2, pull both low to divide by 8.</t>
  </si>
  <si>
    <t xml:space="preserve">Programmable IO positive voltage</t>
  </si>
  <si>
    <t xml:space="preserve">Waiting</t>
  </si>
  <si>
    <t xml:space="preserve">Output</t>
  </si>
  <si>
    <t xml:space="preserve">RDY (output)</t>
  </si>
  <si>
    <t xml:space="preserve">Low indicates the processor is stalled.</t>
  </si>
  <si>
    <t xml:space="preserve">Interrupt Vector</t>
  </si>
  <si>
    <t xml:space="preserve">VPB</t>
  </si>
  <si>
    <t xml:space="preserve">Low indicates an interrupt address is being read.</t>
  </si>
  <si>
    <t xml:space="preserve">E Interrupt 3</t>
  </si>
  <si>
    <t xml:space="preserve">Pulse low for an edge triggered interrupt.</t>
  </si>
  <si>
    <t xml:space="preserve">E Interrupt 2</t>
  </si>
  <si>
    <t xml:space="preserve">E Interrupt 1</t>
  </si>
  <si>
    <t xml:space="preserve">E Interrupt 0</t>
  </si>
  <si>
    <t xml:space="preserve">NMIB</t>
  </si>
  <si>
    <t xml:space="preserve">Reset</t>
  </si>
  <si>
    <t xml:space="preserve">RESB</t>
  </si>
  <si>
    <t xml:space="preserve">Pull low to hold the processor in reset.</t>
  </si>
  <si>
    <t xml:space="preserve">Level Interrupt</t>
  </si>
  <si>
    <t xml:space="preserve">IRQB</t>
  </si>
  <si>
    <t xml:space="preserve">Pull low for a level triggered interrupt.</t>
  </si>
  <si>
    <t xml:space="preserve">PHI2</t>
  </si>
  <si>
    <t xml:space="preserve">Inverted actual processor clock output</t>
  </si>
  <si>
    <t xml:space="preserve">Actual processor clock output (includes clock division and holding).</t>
  </si>
  <si>
    <t xml:space="preserve">Cycle Clock</t>
  </si>
  <si>
    <t xml:space="preserve">Processor clock input.</t>
  </si>
  <si>
    <t xml:space="preserve">Write</t>
  </si>
  <si>
    <t xml:space="preserve">Low indicates a write.</t>
  </si>
  <si>
    <t xml:space="preserve">Read</t>
  </si>
  <si>
    <t xml:space="preserve">Low indicates a read.  Neither Read nor Write low indicates no bus access.</t>
  </si>
  <si>
    <t xml:space="preserve">RWB</t>
  </si>
  <si>
    <t xml:space="preserve">High indicates a read, low indicates a write.</t>
  </si>
  <si>
    <t xml:space="preserve">Internal Address</t>
  </si>
  <si>
    <t xml:space="preserve">High indicates internal SRAM is being addressed.</t>
  </si>
  <si>
    <t xml:space="preserve">Address Valid</t>
  </si>
  <si>
    <t xml:space="preserve">High indicates an external address is being addressed.</t>
  </si>
  <si>
    <t xml:space="preserve">Opcode Valid</t>
  </si>
  <si>
    <t xml:space="preserve">High indicates an instruction opcode is being read.</t>
  </si>
  <si>
    <t xml:space="preserve">Program Address</t>
  </si>
  <si>
    <t xml:space="preserve">VPA</t>
  </si>
  <si>
    <t xml:space="preserve">High indicates instruction operands are being read.</t>
  </si>
  <si>
    <t xml:space="preserve">Stack Address</t>
  </si>
  <si>
    <t xml:space="preserve">High indicates the stack is being addressed.</t>
  </si>
  <si>
    <t xml:space="preserve">Data Address</t>
  </si>
  <si>
    <t xml:space="preserve">VDA</t>
  </si>
  <si>
    <t xml:space="preserve">High indicates data is being addressed, neither instruction nor stack.</t>
  </si>
  <si>
    <t xml:space="preserve">Initial Flag</t>
  </si>
  <si>
    <t xml:space="preserve">Programmable pin set low on Reset.</t>
  </si>
  <si>
    <t xml:space="preserve">User Flag</t>
  </si>
  <si>
    <t xml:space="preserve">Programmable pin set high on Reset.</t>
  </si>
  <si>
    <t xml:space="preserve">Kernel Mode</t>
  </si>
  <si>
    <t xml:space="preserve">Low indicates the processor is in kernel mode, high indicates user mode.</t>
  </si>
  <si>
    <t xml:space="preserve">Bus Enable</t>
  </si>
  <si>
    <t xml:space="preserve">BE</t>
  </si>
  <si>
    <t xml:space="preserve">Pull low set the pins A0 – A31, D0 – D15, Read, Write and RWB high impedance.</t>
  </si>
  <si>
    <t xml:space="preserve">Watchdog Clock</t>
  </si>
  <si>
    <t xml:space="preserve">Watchdog clock input, typically 32Khz.</t>
  </si>
  <si>
    <t xml:space="preserve">Data Width 8</t>
  </si>
  <si>
    <t xml:space="preserve">Pull low to set the databus width to 8 bits, pins D8 – D15 are set high impedance.</t>
  </si>
  <si>
    <t xml:space="preserve">Hold High</t>
  </si>
  <si>
    <t xml:space="preserve">RDY (input)</t>
  </si>
  <si>
    <t xml:space="preserve">Hold low to stop the processor clock from transitioning low.</t>
  </si>
  <si>
    <t xml:space="preserve">Hold Low</t>
  </si>
  <si>
    <t xml:space="preserve">Hold high to stop the processor clock from transitioning high.</t>
  </si>
  <si>
    <t xml:space="preserve">Lower Byte</t>
  </si>
  <si>
    <t xml:space="preserve">Low indicates databus pins D0 – D7 are valid.</t>
  </si>
  <si>
    <t xml:space="preserve">Upper Byte</t>
  </si>
  <si>
    <t xml:space="preserve">Low indicates databus pins D8 – D15 are valid.</t>
  </si>
  <si>
    <t xml:space="preserve">D0</t>
  </si>
  <si>
    <t xml:space="preserve">D0 – D15: databus.</t>
  </si>
  <si>
    <t xml:space="preserve">D1</t>
  </si>
  <si>
    <t xml:space="preserve">D2</t>
  </si>
  <si>
    <t xml:space="preserve">130 – 142</t>
  </si>
  <si>
    <t xml:space="preserve">D3 – D15</t>
  </si>
  <si>
    <t xml:space="preserve">D3 – D7</t>
  </si>
  <si>
    <t xml:space="preserve">A1</t>
  </si>
  <si>
    <t xml:space="preserve">A0</t>
  </si>
  <si>
    <t xml:space="preserve">Register Behaviour</t>
  </si>
  <si>
    <t xml:space="preserve">Register Layout</t>
  </si>
  <si>
    <t xml:space="preserve">Symbols</t>
  </si>
  <si>
    <t xml:space="preserve">Aritmethic and Logic</t>
  </si>
  <si>
    <r>
      <rPr>
        <b val="true"/>
        <sz val="10"/>
        <rFont val="Arial"/>
        <family val="2"/>
      </rPr>
      <t xml:space="preserve">Register A</t>
    </r>
    <r>
      <rPr>
        <sz val="10"/>
        <rFont val="Arial"/>
        <family val="2"/>
      </rPr>
      <t xml:space="preserve"> (64 bit)</t>
    </r>
  </si>
  <si>
    <t xml:space="preserve">(32 bit)</t>
  </si>
  <si>
    <t xml:space="preserve">(16 bit)</t>
  </si>
  <si>
    <t xml:space="preserve">(8 bit)</t>
  </si>
  <si>
    <r>
      <rPr>
        <b val="true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 is the contents of the A register. </t>
    </r>
    <r>
      <rPr>
        <b val="true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is the width of the A register in bits.</t>
    </r>
  </si>
  <si>
    <r>
      <rPr>
        <b val="true"/>
        <sz val="10"/>
        <rFont val="Arial"/>
        <family val="2"/>
      </rPr>
      <t xml:space="preserve">Register B </t>
    </r>
    <r>
      <rPr>
        <sz val="10"/>
        <rFont val="Arial"/>
        <family val="2"/>
      </rPr>
      <t xml:space="preserve">(64 bit)</t>
    </r>
  </si>
  <si>
    <r>
      <rPr>
        <b val="true"/>
        <sz val="10"/>
        <rFont val="Arial"/>
        <family val="2"/>
      </rPr>
      <t xml:space="preserve">B</t>
    </r>
    <r>
      <rPr>
        <sz val="10"/>
        <rFont val="Arial"/>
        <family val="2"/>
      </rPr>
      <t xml:space="preserve">  is the contents of the B register. </t>
    </r>
    <r>
      <rPr>
        <b val="true"/>
        <sz val="10"/>
        <rFont val="Arial"/>
        <family val="2"/>
      </rPr>
      <t xml:space="preserve">b</t>
    </r>
    <r>
      <rPr>
        <sz val="10"/>
        <rFont val="Arial"/>
        <family val="2"/>
      </rPr>
      <t xml:space="preserve"> is the width of the B register in bits.</t>
    </r>
  </si>
  <si>
    <t xml:space="preserve">Frame address</t>
  </si>
  <si>
    <r>
      <rPr>
        <b val="true"/>
        <sz val="10"/>
        <rFont val="Arial"/>
        <family val="2"/>
      </rPr>
      <t xml:space="preserve">Register V </t>
    </r>
    <r>
      <rPr>
        <sz val="10"/>
        <rFont val="Arial"/>
        <family val="2"/>
      </rPr>
      <t xml:space="preserve">(32 bit) </t>
    </r>
  </si>
  <si>
    <r>
      <rPr>
        <b val="true"/>
        <sz val="10"/>
        <rFont val="Arial"/>
        <family val="2"/>
      </rPr>
      <t xml:space="preserve">V</t>
    </r>
    <r>
      <rPr>
        <sz val="10"/>
        <rFont val="Arial"/>
        <family val="2"/>
      </rPr>
      <t xml:space="preserve">  is the contents of the V register. </t>
    </r>
    <r>
      <rPr>
        <b val="true"/>
        <sz val="10"/>
        <rFont val="Arial"/>
        <family val="2"/>
      </rPr>
      <t xml:space="preserve">32</t>
    </r>
    <r>
      <rPr>
        <sz val="10"/>
        <rFont val="Arial"/>
        <family val="2"/>
      </rPr>
      <t xml:space="preserve"> is the width of the V register in bits.</t>
    </r>
  </si>
  <si>
    <r>
      <rPr>
        <b val="true"/>
        <sz val="10"/>
        <rFont val="Arial"/>
        <family val="2"/>
      </rPr>
      <t xml:space="preserve">Register W </t>
    </r>
    <r>
      <rPr>
        <sz val="10"/>
        <rFont val="Arial"/>
        <family val="2"/>
      </rPr>
      <t xml:space="preserve">(32 bit)</t>
    </r>
  </si>
  <si>
    <r>
      <rPr>
        <b val="true"/>
        <sz val="10"/>
        <rFont val="Arial"/>
        <family val="2"/>
      </rPr>
      <t xml:space="preserve">W</t>
    </r>
    <r>
      <rPr>
        <sz val="10"/>
        <rFont val="Arial"/>
        <family val="2"/>
      </rPr>
      <t xml:space="preserve"> is the contents of the W register. </t>
    </r>
    <r>
      <rPr>
        <b val="true"/>
        <sz val="10"/>
        <rFont val="Arial"/>
        <family val="2"/>
      </rPr>
      <t xml:space="preserve">32</t>
    </r>
    <r>
      <rPr>
        <sz val="10"/>
        <rFont val="Arial"/>
        <family val="2"/>
      </rPr>
      <t xml:space="preserve"> is the width of the W register in bits.</t>
    </r>
  </si>
  <si>
    <t xml:space="preserve">Indexed addressing</t>
  </si>
  <si>
    <r>
      <rPr>
        <b val="true"/>
        <sz val="10"/>
        <rFont val="Arial"/>
        <family val="2"/>
      </rPr>
      <t xml:space="preserve">Register X </t>
    </r>
    <r>
      <rPr>
        <sz val="10"/>
        <rFont val="Arial"/>
        <family val="2"/>
      </rPr>
      <t xml:space="preserve">(64 bit)</t>
    </r>
  </si>
  <si>
    <r>
      <rPr>
        <b val="true"/>
        <sz val="10"/>
        <rFont val="Arial"/>
        <family val="2"/>
      </rPr>
      <t xml:space="preserve">X</t>
    </r>
    <r>
      <rPr>
        <sz val="10"/>
        <rFont val="Arial"/>
        <family val="2"/>
      </rPr>
      <t xml:space="preserve">  is the contents of the X register. </t>
    </r>
    <r>
      <rPr>
        <b val="true"/>
        <sz val="10"/>
        <rFont val="Arial"/>
        <family val="2"/>
      </rPr>
      <t xml:space="preserve">x</t>
    </r>
    <r>
      <rPr>
        <sz val="10"/>
        <rFont val="Arial"/>
        <family val="2"/>
      </rPr>
      <t xml:space="preserve"> is the width of the X register in bits.</t>
    </r>
  </si>
  <si>
    <r>
      <rPr>
        <b val="true"/>
        <sz val="10"/>
        <rFont val="Arial"/>
        <family val="2"/>
      </rPr>
      <t xml:space="preserve">Register Y </t>
    </r>
    <r>
      <rPr>
        <sz val="10"/>
        <rFont val="Arial"/>
        <family val="2"/>
      </rPr>
      <t xml:space="preserve">(64 bit)</t>
    </r>
  </si>
  <si>
    <r>
      <rPr>
        <b val="true"/>
        <sz val="10"/>
        <rFont val="Arial"/>
        <family val="2"/>
      </rPr>
      <t xml:space="preserve">Y </t>
    </r>
    <r>
      <rPr>
        <sz val="10"/>
        <rFont val="Arial"/>
        <family val="2"/>
      </rPr>
      <t xml:space="preserve"> is the contents of the Y register. </t>
    </r>
    <r>
      <rPr>
        <b val="true"/>
        <sz val="10"/>
        <rFont val="Arial"/>
        <family val="2"/>
      </rPr>
      <t xml:space="preserve">y</t>
    </r>
    <r>
      <rPr>
        <sz val="10"/>
        <rFont val="Arial"/>
        <family val="2"/>
      </rPr>
      <t xml:space="preserve"> is the width of the Y register in bits.</t>
    </r>
  </si>
  <si>
    <t xml:space="preserve">Stack address</t>
  </si>
  <si>
    <r>
      <rPr>
        <b val="true"/>
        <sz val="10"/>
        <rFont val="Arial"/>
        <family val="2"/>
      </rPr>
      <t xml:space="preserve">Stack Pointer S </t>
    </r>
    <r>
      <rPr>
        <sz val="10"/>
        <rFont val="Arial"/>
        <family val="2"/>
      </rPr>
      <t xml:space="preserve">(32 bit)       </t>
    </r>
  </si>
  <si>
    <r>
      <rPr>
        <b val="true"/>
        <sz val="10"/>
        <rFont val="Arial"/>
        <family val="2"/>
      </rPr>
      <t xml:space="preserve">S </t>
    </r>
    <r>
      <rPr>
        <sz val="10"/>
        <rFont val="Arial"/>
        <family val="2"/>
      </rPr>
      <t xml:space="preserve"> is the contents of the stack pointer. </t>
    </r>
    <r>
      <rPr>
        <b val="true"/>
        <sz val="10"/>
        <rFont val="Arial"/>
        <family val="2"/>
      </rPr>
      <t xml:space="preserve">32</t>
    </r>
    <r>
      <rPr>
        <sz val="10"/>
        <rFont val="Arial"/>
        <family val="2"/>
      </rPr>
      <t xml:space="preserve"> is the width of the stack pointer in bits.</t>
    </r>
  </si>
  <si>
    <t xml:space="preserve">Processor State</t>
  </si>
  <si>
    <r>
      <rPr>
        <b val="true"/>
        <sz val="10"/>
        <rFont val="Arial"/>
        <family val="2"/>
      </rPr>
      <t xml:space="preserve">Status P </t>
    </r>
    <r>
      <rPr>
        <sz val="10"/>
        <rFont val="Arial"/>
        <family val="2"/>
      </rPr>
      <t xml:space="preserve">(16 bit)</t>
    </r>
  </si>
  <si>
    <r>
      <rPr>
        <b val="true"/>
        <sz val="10"/>
        <rFont val="Arial"/>
        <family val="2"/>
      </rPr>
      <t xml:space="preserve">Program Counter C </t>
    </r>
    <r>
      <rPr>
        <sz val="10"/>
        <rFont val="Arial"/>
        <family val="2"/>
      </rPr>
      <t xml:space="preserve">(32 bit)</t>
    </r>
  </si>
  <si>
    <r>
      <rPr>
        <b val="true"/>
        <sz val="10"/>
        <rFont val="Arial"/>
        <family val="2"/>
      </rPr>
      <t xml:space="preserve">C </t>
    </r>
    <r>
      <rPr>
        <sz val="10"/>
        <rFont val="Arial"/>
        <family val="2"/>
      </rPr>
      <t xml:space="preserve"> is the contents of the program counter. </t>
    </r>
    <r>
      <rPr>
        <b val="true"/>
        <sz val="10"/>
        <rFont val="Arial"/>
        <family val="2"/>
      </rPr>
      <t xml:space="preserve">32</t>
    </r>
    <r>
      <rPr>
        <sz val="10"/>
        <rFont val="Arial"/>
        <family val="2"/>
      </rPr>
      <t xml:space="preserve"> is the width of the program counter in bits.</t>
    </r>
  </si>
  <si>
    <r>
      <rPr>
        <b val="true"/>
        <sz val="10"/>
        <rFont val="Arial"/>
        <family val="2"/>
      </rPr>
      <t xml:space="preserve">P</t>
    </r>
    <r>
      <rPr>
        <sz val="10"/>
        <rFont val="Arial"/>
        <family val="2"/>
      </rPr>
      <t xml:space="preserve">  is the contents of the status register. </t>
    </r>
    <r>
      <rPr>
        <b val="true"/>
        <sz val="10"/>
        <rFont val="Arial"/>
        <family val="2"/>
      </rPr>
      <t xml:space="preserve">16</t>
    </r>
    <r>
      <rPr>
        <sz val="10"/>
        <rFont val="Arial"/>
        <family val="2"/>
      </rPr>
      <t xml:space="preserve"> is the width of the status register in bits.</t>
    </r>
  </si>
  <si>
    <t xml:space="preserve">Internal Data</t>
  </si>
  <si>
    <r>
      <rPr>
        <b val="true"/>
        <sz val="10"/>
        <rFont val="Arial"/>
        <family val="2"/>
      </rPr>
      <t xml:space="preserve">Register D</t>
    </r>
    <r>
      <rPr>
        <b val="true"/>
        <vertAlign val="subscript"/>
        <sz val="10"/>
        <rFont val="Arial"/>
        <family val="2"/>
      </rPr>
      <t xml:space="preserve">I</t>
    </r>
    <r>
      <rPr>
        <sz val="10"/>
        <rFont val="Arial"/>
        <family val="2"/>
      </rPr>
      <t xml:space="preserve"> (64 bit)</t>
    </r>
  </si>
  <si>
    <r>
      <rPr>
        <b val="true"/>
        <sz val="10"/>
        <rFont val="Arial"/>
        <family val="2"/>
      </rPr>
      <t xml:space="preserve">i</t>
    </r>
    <r>
      <rPr>
        <sz val="10"/>
        <rFont val="Arial"/>
        <family val="2"/>
      </rPr>
      <t xml:space="preserve"> is the length of the instruction in bytes.</t>
    </r>
  </si>
  <si>
    <r>
      <rPr>
        <b val="true"/>
        <sz val="10"/>
        <rFont val="Arial"/>
        <family val="2"/>
      </rPr>
      <t xml:space="preserve">Register D </t>
    </r>
    <r>
      <rPr>
        <sz val="10"/>
        <rFont val="Arial"/>
        <family val="2"/>
      </rPr>
      <t xml:space="preserve"> (64 bit)</t>
    </r>
  </si>
  <si>
    <r>
      <rPr>
        <b val="true"/>
        <sz val="10"/>
        <rFont val="Arial"/>
        <family val="2"/>
      </rPr>
      <t xml:space="preserve">o</t>
    </r>
    <r>
      <rPr>
        <sz val="10"/>
        <rFont val="Arial"/>
        <family val="2"/>
      </rPr>
      <t xml:space="preserve"> is the length of an operand in bytes.</t>
    </r>
  </si>
  <si>
    <r>
      <rPr>
        <b val="true"/>
        <sz val="10"/>
        <rFont val="Arial"/>
        <family val="2"/>
      </rPr>
      <t xml:space="preserve">Register D</t>
    </r>
    <r>
      <rPr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 (64 bit)</t>
    </r>
  </si>
  <si>
    <r>
      <rPr>
        <b val="true"/>
        <sz val="10"/>
        <rFont val="Arial"/>
        <family val="2"/>
      </rPr>
      <t xml:space="preserve">e</t>
    </r>
    <r>
      <rPr>
        <sz val="10"/>
        <rFont val="Arial"/>
        <family val="2"/>
      </rPr>
      <t xml:space="preserve"> is the disable edge triggered interrupt flag.</t>
    </r>
  </si>
  <si>
    <r>
      <rPr>
        <b val="true"/>
        <sz val="10"/>
        <rFont val="Arial"/>
        <family val="2"/>
      </rPr>
      <t xml:space="preserve">l.</t>
    </r>
    <r>
      <rPr>
        <sz val="10"/>
        <rFont val="Arial"/>
        <family val="2"/>
      </rPr>
      <t xml:space="preserve"> is the disable level triggered interrupt flag.</t>
    </r>
  </si>
  <si>
    <r>
      <rPr>
        <b val="true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 is a user status flag.</t>
    </r>
  </si>
  <si>
    <r>
      <rPr>
        <b val="true"/>
        <sz val="10"/>
        <rFont val="Arial"/>
        <family val="2"/>
      </rPr>
      <t xml:space="preserve">Status P </t>
    </r>
    <r>
      <rPr>
        <sz val="10"/>
        <rFont val="Arial"/>
        <family val="2"/>
      </rPr>
      <t xml:space="preserve">bit encoding</t>
    </r>
  </si>
  <si>
    <r>
      <rPr>
        <b val="true"/>
        <sz val="10"/>
        <rFont val="Arial"/>
        <family val="2"/>
      </rPr>
      <t xml:space="preserve">g</t>
    </r>
    <r>
      <rPr>
        <sz val="10"/>
        <rFont val="Arial"/>
        <family val="2"/>
      </rPr>
      <t xml:space="preserve"> is a user status flag.</t>
    </r>
  </si>
  <si>
    <r>
      <rPr>
        <b val="true"/>
        <sz val="10"/>
        <rFont val="Arial"/>
        <family val="2"/>
      </rPr>
      <t xml:space="preserve">n</t>
    </r>
    <r>
      <rPr>
        <sz val="10"/>
        <rFont val="Arial"/>
        <family val="2"/>
      </rPr>
      <t xml:space="preserve"> is the negative flag.</t>
    </r>
  </si>
  <si>
    <t xml:space="preserve">a</t>
  </si>
  <si>
    <t xml:space="preserve">b</t>
  </si>
  <si>
    <t xml:space="preserve">x</t>
  </si>
  <si>
    <t xml:space="preserve">y</t>
  </si>
  <si>
    <t xml:space="preserve">e</t>
  </si>
  <si>
    <t xml:space="preserve">l.</t>
  </si>
  <si>
    <t xml:space="preserve">f</t>
  </si>
  <si>
    <t xml:space="preserve">g</t>
  </si>
  <si>
    <t xml:space="preserve">n</t>
  </si>
  <si>
    <t xml:space="preserve">v</t>
  </si>
  <si>
    <t xml:space="preserve">z</t>
  </si>
  <si>
    <t xml:space="preserve">c</t>
  </si>
  <si>
    <r>
      <rPr>
        <b val="true"/>
        <sz val="10"/>
        <rFont val="Arial"/>
        <family val="2"/>
      </rPr>
      <t xml:space="preserve">v</t>
    </r>
    <r>
      <rPr>
        <sz val="10"/>
        <rFont val="Arial"/>
        <family val="2"/>
      </rPr>
      <t xml:space="preserve"> is the overflow flag.</t>
    </r>
  </si>
  <si>
    <t xml:space="preserve">Width A</t>
  </si>
  <si>
    <t xml:space="preserve">Width B</t>
  </si>
  <si>
    <t xml:space="preserve">Width X</t>
  </si>
  <si>
    <t xml:space="preserve">Width Y</t>
  </si>
  <si>
    <t xml:space="preserve">EI Disable</t>
  </si>
  <si>
    <t xml:space="preserve">L. Disable</t>
  </si>
  <si>
    <t xml:space="preserve">User flag F</t>
  </si>
  <si>
    <t xml:space="preserve">User flag G</t>
  </si>
  <si>
    <t xml:space="preserve">Negative</t>
  </si>
  <si>
    <t xml:space="preserve">Overflow</t>
  </si>
  <si>
    <t xml:space="preserve">Zero</t>
  </si>
  <si>
    <t xml:space="preserve">Carry</t>
  </si>
  <si>
    <r>
      <rPr>
        <b val="true"/>
        <sz val="10"/>
        <rFont val="Arial"/>
        <family val="2"/>
      </rPr>
      <t xml:space="preserve">z</t>
    </r>
    <r>
      <rPr>
        <sz val="10"/>
        <rFont val="Arial"/>
        <family val="2"/>
      </rPr>
      <t xml:space="preserve"> is the zero flag.</t>
    </r>
  </si>
  <si>
    <t xml:space="preserve">8, 16, 32 or 64 bits</t>
  </si>
  <si>
    <t xml:space="preserve">0=enable</t>
  </si>
  <si>
    <t xml:space="preserve">0=clear</t>
  </si>
  <si>
    <t xml:space="preserve">0=positive</t>
  </si>
  <si>
    <t xml:space="preserve">0=non-zero</t>
  </si>
  <si>
    <r>
      <rPr>
        <b val="true"/>
        <sz val="10"/>
        <rFont val="Arial"/>
        <family val="2"/>
      </rPr>
      <t xml:space="preserve">c</t>
    </r>
    <r>
      <rPr>
        <sz val="10"/>
        <rFont val="Arial"/>
        <family val="2"/>
      </rPr>
      <t xml:space="preserve"> is the carry flag.</t>
    </r>
  </si>
  <si>
    <t xml:space="preserve">1=disable</t>
  </si>
  <si>
    <t xml:space="preserve">1=set</t>
  </si>
  <si>
    <t xml:space="preserve">1=negative</t>
  </si>
  <si>
    <t xml:space="preserve">1=zero</t>
  </si>
  <si>
    <r>
      <rPr>
        <b val="true"/>
        <sz val="10"/>
        <rFont val="Arial"/>
        <family val="2"/>
      </rPr>
      <t xml:space="preserve">R</t>
    </r>
    <r>
      <rPr>
        <sz val="10"/>
        <rFont val="Arial"/>
        <family val="2"/>
      </rPr>
      <t xml:space="preserve"> represents the contents of a register. </t>
    </r>
    <r>
      <rPr>
        <b val="true"/>
        <sz val="10"/>
        <rFont val="Arial"/>
        <family val="2"/>
      </rPr>
      <t xml:space="preserve">r</t>
    </r>
    <r>
      <rPr>
        <sz val="10"/>
        <rFont val="Arial"/>
        <family val="2"/>
      </rPr>
      <t xml:space="preserve"> represents the width of a register.</t>
    </r>
  </si>
  <si>
    <r>
      <rPr>
        <b val="true"/>
        <sz val="10"/>
        <rFont val="Arial"/>
        <family val="2"/>
      </rPr>
      <t xml:space="preserve">H</t>
    </r>
    <r>
      <rPr>
        <sz val="10"/>
        <rFont val="Arial"/>
        <family val="2"/>
      </rPr>
      <t xml:space="preserve"> represents the contents of a hardware register. </t>
    </r>
    <r>
      <rPr>
        <b val="true"/>
        <sz val="10"/>
        <rFont val="Arial"/>
        <family val="2"/>
      </rPr>
      <t xml:space="preserve">h</t>
    </r>
    <r>
      <rPr>
        <sz val="10"/>
        <rFont val="Arial"/>
        <family val="2"/>
      </rPr>
      <t xml:space="preserve"> represents the width of a hardware register.</t>
    </r>
  </si>
  <si>
    <r>
      <rPr>
        <b val="true"/>
        <sz val="10"/>
        <rFont val="Arial"/>
        <family val="2"/>
      </rPr>
      <t xml:space="preserve">D</t>
    </r>
    <r>
      <rPr>
        <b val="true"/>
        <vertAlign val="subscript"/>
        <sz val="10"/>
        <rFont val="Arial"/>
        <family val="2"/>
      </rPr>
      <t xml:space="preserve">I</t>
    </r>
    <r>
      <rPr>
        <b val="true"/>
        <sz val="10"/>
        <rFont val="Arial"/>
        <family val="2"/>
      </rPr>
      <t xml:space="preserve"> D</t>
    </r>
    <r>
      <rPr>
        <sz val="10"/>
        <rFont val="Arial"/>
        <family val="2"/>
      </rPr>
      <t xml:space="preserve"> and </t>
    </r>
    <r>
      <rPr>
        <b val="true"/>
        <sz val="10"/>
        <rFont val="Arial"/>
        <family val="2"/>
      </rPr>
      <t xml:space="preserve">D</t>
    </r>
    <r>
      <rPr>
        <b val="true"/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 represent internal data registers.  A subscript represents a different internal register.</t>
    </r>
  </si>
  <si>
    <r>
      <rPr>
        <b val="true"/>
        <sz val="10"/>
        <rFont val="Arial"/>
        <family val="2"/>
      </rPr>
      <t xml:space="preserve">[</t>
    </r>
    <r>
      <rPr>
        <sz val="10"/>
        <rFont val="Arial"/>
        <family val="2"/>
      </rPr>
      <t xml:space="preserve">Q</t>
    </r>
    <r>
      <rPr>
        <b val="true"/>
        <sz val="10"/>
        <rFont val="Arial"/>
        <family val="2"/>
      </rPr>
      <t xml:space="preserve">]</t>
    </r>
    <r>
      <rPr>
        <sz val="10"/>
        <rFont val="Arial"/>
        <family val="2"/>
      </rPr>
      <t xml:space="preserve"> is the contents of the address Q.</t>
    </r>
  </si>
  <si>
    <r>
      <rPr>
        <sz val="10"/>
        <rFont val="Arial"/>
        <family val="2"/>
      </rPr>
      <t xml:space="preserve">R</t>
    </r>
    <r>
      <rPr>
        <b val="true"/>
        <sz val="10"/>
        <rFont val="Arial"/>
        <family val="2"/>
      </rPr>
      <t xml:space="preserve">:[</t>
    </r>
    <r>
      <rPr>
        <sz val="10"/>
        <rFont val="Arial"/>
        <family val="2"/>
      </rPr>
      <t xml:space="preserve">q</t>
    </r>
    <r>
      <rPr>
        <b val="true"/>
        <sz val="10"/>
        <rFont val="Arial"/>
        <family val="2"/>
      </rPr>
      <t xml:space="preserve">]</t>
    </r>
    <r>
      <rPr>
        <sz val="10"/>
        <rFont val="Arial"/>
        <family val="2"/>
      </rPr>
      <t xml:space="preserve"> is the contents of a byte in register R indexed by q.</t>
    </r>
  </si>
  <si>
    <r>
      <rPr>
        <sz val="10"/>
        <rFont val="Arial"/>
        <family val="2"/>
      </rPr>
      <t xml:space="preserve">R</t>
    </r>
    <r>
      <rPr>
        <b val="true"/>
        <sz val="10"/>
        <rFont val="Arial"/>
        <family val="2"/>
      </rPr>
      <t xml:space="preserve">:b[</t>
    </r>
    <r>
      <rPr>
        <sz val="10"/>
        <rFont val="Arial"/>
        <family val="2"/>
      </rPr>
      <t xml:space="preserve">q</t>
    </r>
    <r>
      <rPr>
        <b val="true"/>
        <sz val="10"/>
        <rFont val="Arial"/>
        <family val="2"/>
      </rPr>
      <t xml:space="preserve">]</t>
    </r>
    <r>
      <rPr>
        <sz val="10"/>
        <rFont val="Arial"/>
        <family val="2"/>
      </rPr>
      <t xml:space="preserve"> is the contents of a bit in register R indexed by q.</t>
    </r>
  </si>
  <si>
    <r>
      <rPr>
        <sz val="10"/>
        <rFont val="Arial"/>
        <family val="2"/>
      </rPr>
      <t xml:space="preserve">R</t>
    </r>
    <r>
      <rPr>
        <b val="true"/>
        <sz val="10"/>
        <rFont val="Arial"/>
        <family val="2"/>
      </rPr>
      <t xml:space="preserve">:n[</t>
    </r>
    <r>
      <rPr>
        <sz val="10"/>
        <rFont val="Arial"/>
        <family val="2"/>
      </rPr>
      <t xml:space="preserve">q</t>
    </r>
    <r>
      <rPr>
        <b val="true"/>
        <sz val="10"/>
        <rFont val="Arial"/>
        <family val="2"/>
      </rPr>
      <t xml:space="preserve">]</t>
    </r>
    <r>
      <rPr>
        <sz val="10"/>
        <rFont val="Arial"/>
        <family val="2"/>
      </rPr>
      <t xml:space="preserve"> is the contents of a nybble in register R indexed by q.</t>
    </r>
  </si>
  <si>
    <r>
      <rPr>
        <b val="true"/>
        <sz val="10"/>
        <rFont val="Arial"/>
        <family val="2"/>
      </rPr>
      <t xml:space="preserve">O</t>
    </r>
    <r>
      <rPr>
        <sz val="10"/>
        <rFont val="Arial"/>
        <family val="2"/>
      </rPr>
      <t xml:space="preserve"> is an operand.  See the Opcode operands tab.  A register, address, embedded or immediate value.</t>
    </r>
  </si>
  <si>
    <r>
      <rPr>
        <b val="true"/>
        <sz val="10"/>
        <rFont val="Arial"/>
        <family val="2"/>
      </rPr>
      <t xml:space="preserve">O1</t>
    </r>
    <r>
      <rPr>
        <sz val="10"/>
        <rFont val="Arial"/>
        <family val="2"/>
      </rPr>
      <t xml:space="preserve"> is operand left.</t>
    </r>
  </si>
  <si>
    <r>
      <rPr>
        <b val="true"/>
        <sz val="10"/>
        <rFont val="Arial"/>
        <family val="2"/>
      </rPr>
      <t xml:space="preserve">O2</t>
    </r>
    <r>
      <rPr>
        <sz val="10"/>
        <rFont val="Arial"/>
        <family val="2"/>
      </rPr>
      <t xml:space="preserve"> is operand right.</t>
    </r>
  </si>
  <si>
    <r>
      <rPr>
        <b val="true"/>
        <sz val="10"/>
        <rFont val="Arial"/>
        <family val="2"/>
      </rPr>
      <t xml:space="preserve">N</t>
    </r>
    <r>
      <rPr>
        <sz val="10"/>
        <rFont val="Arial"/>
        <family val="2"/>
      </rPr>
      <t xml:space="preserve"> is operand count.</t>
    </r>
  </si>
  <si>
    <r>
      <rPr>
        <b val="true"/>
        <sz val="10"/>
        <rFont val="Arial"/>
        <family val="2"/>
      </rPr>
      <t xml:space="preserve">{</t>
    </r>
    <r>
      <rPr>
        <sz val="10"/>
        <rFont val="Arial"/>
        <family val="2"/>
      </rPr>
      <t xml:space="preserve"> contents </t>
    </r>
    <r>
      <rPr>
        <b val="true"/>
        <sz val="10"/>
        <rFont val="Arial"/>
        <family val="2"/>
      </rPr>
      <t xml:space="preserve">}</t>
    </r>
    <r>
      <rPr>
        <sz val="10"/>
        <rFont val="Arial"/>
        <family val="2"/>
      </rPr>
      <t xml:space="preserve"> the curly brackets indicate that contents is optional or not invoked.</t>
    </r>
  </si>
  <si>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 contents </t>
    </r>
    <r>
      <rPr>
        <b val="true"/>
        <sz val="10"/>
        <rFont val="Arial"/>
        <family val="2"/>
      </rPr>
      <t xml:space="preserve">)</t>
    </r>
    <r>
      <rPr>
        <sz val="10"/>
        <rFont val="Arial"/>
        <family val="2"/>
      </rPr>
      <t xml:space="preserve"> the round brackets indicate order of precedence.</t>
    </r>
  </si>
  <si>
    <r>
      <rPr>
        <b val="true"/>
        <sz val="10"/>
        <rFont val="Arial"/>
        <family val="2"/>
      </rPr>
      <t xml:space="preserve">+</t>
    </r>
    <r>
      <rPr>
        <sz val="10"/>
        <rFont val="Arial"/>
        <family val="2"/>
      </rPr>
      <t xml:space="preserve"> is addition.</t>
    </r>
  </si>
  <si>
    <r>
      <rPr>
        <b val="true"/>
        <sz val="10"/>
        <rFont val="Arial"/>
        <family val="2"/>
      </rPr>
      <t xml:space="preserve">-</t>
    </r>
    <r>
      <rPr>
        <sz val="10"/>
        <rFont val="Arial"/>
        <family val="2"/>
      </rPr>
      <t xml:space="preserve"> is subtraction.</t>
    </r>
  </si>
  <si>
    <r>
      <rPr>
        <sz val="10"/>
        <rFont val="Arial"/>
        <family val="2"/>
      </rPr>
      <t xml:space="preserve">Q1 </t>
    </r>
    <r>
      <rPr>
        <b val="true"/>
        <sz val="10"/>
        <rFont val="Arial"/>
        <family val="2"/>
      </rPr>
      <t xml:space="preserve">→</t>
    </r>
    <r>
      <rPr>
        <sz val="10"/>
        <rFont val="Arial"/>
        <family val="2"/>
      </rPr>
      <t xml:space="preserve"> Q2 the arrow represents that Q1 is assigned to Q2.</t>
    </r>
  </si>
  <si>
    <r>
      <rPr>
        <b val="true"/>
        <sz val="10"/>
        <rFont val="Arial"/>
        <family val="2"/>
      </rPr>
      <t xml:space="preserve">∧</t>
    </r>
    <r>
      <rPr>
        <sz val="10"/>
        <rFont val="Arial"/>
        <family val="2"/>
      </rPr>
      <t xml:space="preserve">is bitwise AND.</t>
    </r>
  </si>
  <si>
    <r>
      <rPr>
        <b val="true"/>
        <sz val="10"/>
        <rFont val="Arial"/>
        <family val="2"/>
      </rPr>
      <t xml:space="preserve">∨</t>
    </r>
    <r>
      <rPr>
        <sz val="10"/>
        <rFont val="Arial"/>
        <family val="2"/>
      </rPr>
      <t xml:space="preserve">is bitwise OR.</t>
    </r>
  </si>
  <si>
    <t xml:space="preserve">⊻is bitwise XOR.</t>
  </si>
  <si>
    <r>
      <rPr>
        <b val="true"/>
        <sz val="10"/>
        <rFont val="Arial"/>
        <family val="2"/>
      </rPr>
      <t xml:space="preserve">‹‹</t>
    </r>
    <r>
      <rPr>
        <sz val="10"/>
        <rFont val="Arial"/>
        <family val="2"/>
      </rPr>
      <t xml:space="preserve"> bit-shift left</t>
    </r>
  </si>
  <si>
    <r>
      <rPr>
        <b val="true"/>
        <sz val="10"/>
        <rFont val="Arial"/>
        <family val="2"/>
      </rPr>
      <t xml:space="preserve">››</t>
    </r>
    <r>
      <rPr>
        <sz val="10"/>
        <rFont val="Arial"/>
        <family val="2"/>
      </rPr>
      <t xml:space="preserve"> bit-shift right</t>
    </r>
  </si>
  <si>
    <r>
      <rPr>
        <b val="true"/>
        <sz val="10"/>
        <rFont val="Arial"/>
        <family val="2"/>
      </rPr>
      <t xml:space="preserve">›››</t>
    </r>
    <r>
      <rPr>
        <sz val="10"/>
        <rFont val="Arial"/>
        <family val="2"/>
      </rPr>
      <t xml:space="preserve"> signed shift right</t>
    </r>
  </si>
  <si>
    <r>
      <rPr>
        <b val="true"/>
        <sz val="10"/>
        <rFont val="Arial"/>
        <family val="2"/>
      </rPr>
      <t xml:space="preserve">!</t>
    </r>
    <r>
      <rPr>
        <sz val="10"/>
        <rFont val="Arial"/>
        <family val="2"/>
      </rPr>
      <t xml:space="preserve"> is bitwise NOT</t>
    </r>
  </si>
  <si>
    <t xml:space="preserve">65C64 Architectural Manual</t>
  </si>
  <si>
    <t xml:space="preserve">                                                                                                     Instruction Set</t>
  </si>
  <si>
    <t xml:space="preserve">V0.1 Prelim                                                                                                                   </t>
  </si>
  <si>
    <t xml:space="preserve">Instruction</t>
  </si>
  <si>
    <t xml:space="preserve">Instruction class</t>
  </si>
  <si>
    <t xml:space="preserve">Behaviour</t>
  </si>
  <si>
    <t xml:space="preserve">Flags Affected</t>
  </si>
  <si>
    <t xml:space="preserve">Notes</t>
  </si>
  <si>
    <t xml:space="preserve">4 bits</t>
  </si>
  <si>
    <t xml:space="preserve">1 or 2 bits</t>
  </si>
  <si>
    <t xml:space="preserve">Instruction Name</t>
  </si>
  <si>
    <t xml:space="preserve">Mnemonic</t>
  </si>
  <si>
    <t xml:space="preserve">Instruction code</t>
  </si>
  <si>
    <t xml:space="preserve">Extend code</t>
  </si>
  <si>
    <t xml:space="preserve">Sub code</t>
  </si>
  <si>
    <r>
      <rPr>
        <sz val="10"/>
        <rFont val="Arial"/>
        <family val="2"/>
      </rPr>
      <t xml:space="preserve">Copy </t>
    </r>
    <r>
      <rPr>
        <sz val="8"/>
        <color rgb="FF666666"/>
        <rFont val="Arial"/>
        <family val="2"/>
      </rPr>
      <t xml:space="preserve">(zero extend)</t>
    </r>
  </si>
  <si>
    <t xml:space="preserve">cpy</t>
  </si>
  <si>
    <t xml:space="preserve">Logical</t>
  </si>
  <si>
    <t xml:space="preserve">lda ldx ldy sta stx sty stz</t>
  </si>
  <si>
    <t xml:space="preserve">O2 → O1</t>
  </si>
  <si>
    <t xml:space="preserve">n, z</t>
  </si>
  <si>
    <r>
      <rPr>
        <sz val="10"/>
        <rFont val="Arial"/>
        <family val="2"/>
      </rPr>
      <t xml:space="preserve">Copy </t>
    </r>
    <r>
      <rPr>
        <sz val="8"/>
        <color rgb="FF666666"/>
        <rFont val="Arial"/>
        <family val="2"/>
      </rPr>
      <t xml:space="preserve">(sign extend)</t>
    </r>
  </si>
  <si>
    <t xml:space="preserve">O2:s → O1</t>
  </si>
  <si>
    <r>
      <rPr>
        <sz val="10"/>
        <rFont val="Arial"/>
        <family val="2"/>
      </rPr>
      <t xml:space="preserve">And </t>
    </r>
    <r>
      <rPr>
        <sz val="8"/>
        <color rgb="FF666666"/>
        <rFont val="Arial"/>
        <family val="2"/>
      </rPr>
      <t xml:space="preserve">(zero extend)</t>
    </r>
  </si>
  <si>
    <t xml:space="preserve">and</t>
  </si>
  <si>
    <t xml:space="preserve">O1 ∧ O2 → O1</t>
  </si>
  <si>
    <r>
      <rPr>
        <sz val="10"/>
        <rFont val="Arial"/>
        <family val="2"/>
      </rPr>
      <t xml:space="preserve">And </t>
    </r>
    <r>
      <rPr>
        <sz val="8"/>
        <color rgb="FF666666"/>
        <rFont val="Arial"/>
        <family val="2"/>
      </rPr>
      <t xml:space="preserve">(sign extend)</t>
    </r>
  </si>
  <si>
    <t xml:space="preserve">O1:s ∧ O2:s → O1</t>
  </si>
  <si>
    <r>
      <rPr>
        <sz val="10"/>
        <rFont val="Arial"/>
        <family val="2"/>
      </rPr>
      <t xml:space="preserve">Or </t>
    </r>
    <r>
      <rPr>
        <sz val="8"/>
        <color rgb="FF666666"/>
        <rFont val="Arial"/>
        <family val="2"/>
      </rPr>
      <t xml:space="preserve">(zero extend)</t>
    </r>
  </si>
  <si>
    <t xml:space="preserve">or</t>
  </si>
  <si>
    <t xml:space="preserve">ora tsb</t>
  </si>
  <si>
    <t xml:space="preserve">O1 ∨ O2 → O1</t>
  </si>
  <si>
    <r>
      <rPr>
        <sz val="10"/>
        <rFont val="Arial"/>
        <family val="2"/>
      </rPr>
      <t xml:space="preserve">Or </t>
    </r>
    <r>
      <rPr>
        <sz val="8"/>
        <color rgb="FF666666"/>
        <rFont val="Arial"/>
        <family val="2"/>
      </rPr>
      <t xml:space="preserve">(sign extend)</t>
    </r>
  </si>
  <si>
    <t xml:space="preserve">O1:s ∨ O2:s → O1</t>
  </si>
  <si>
    <r>
      <rPr>
        <sz val="10"/>
        <rFont val="Arial"/>
        <family val="2"/>
      </rPr>
      <t xml:space="preserve">Xor </t>
    </r>
    <r>
      <rPr>
        <sz val="8"/>
        <color rgb="FF666666"/>
        <rFont val="Arial"/>
        <family val="2"/>
      </rPr>
      <t xml:space="preserve">(zero extend)</t>
    </r>
  </si>
  <si>
    <t xml:space="preserve">xor</t>
  </si>
  <si>
    <t xml:space="preserve">eor</t>
  </si>
  <si>
    <t xml:space="preserve">O1 ⊻ O2 → O1</t>
  </si>
  <si>
    <r>
      <rPr>
        <sz val="10"/>
        <rFont val="Arial"/>
        <family val="2"/>
      </rPr>
      <t xml:space="preserve">Xor </t>
    </r>
    <r>
      <rPr>
        <sz val="8"/>
        <color rgb="FF666666"/>
        <rFont val="Arial"/>
        <family val="2"/>
      </rPr>
      <t xml:space="preserve">(sign extend)</t>
    </r>
  </si>
  <si>
    <t xml:space="preserve">O1: ⊻ O2:s → O1</t>
  </si>
  <si>
    <r>
      <rPr>
        <sz val="10"/>
        <rFont val="Arial"/>
        <family val="2"/>
      </rPr>
      <t xml:space="preserve">Test </t>
    </r>
    <r>
      <rPr>
        <sz val="8"/>
        <color rgb="FF666666"/>
        <rFont val="Arial"/>
        <family val="2"/>
      </rPr>
      <t xml:space="preserve">(zero extend)</t>
    </r>
  </si>
  <si>
    <t xml:space="preserve">tst</t>
  </si>
  <si>
    <t xml:space="preserve">bit</t>
  </si>
  <si>
    <t xml:space="preserve">O1 ∧ O2</t>
  </si>
  <si>
    <r>
      <rPr>
        <sz val="10"/>
        <rFont val="Arial"/>
        <family val="2"/>
      </rPr>
      <t xml:space="preserve">Test </t>
    </r>
    <r>
      <rPr>
        <sz val="8"/>
        <color rgb="FF666666"/>
        <rFont val="Arial"/>
        <family val="2"/>
      </rPr>
      <t xml:space="preserve">(sign extend)</t>
    </r>
  </si>
  <si>
    <t xml:space="preserve">O1: ∧ O2:s</t>
  </si>
  <si>
    <r>
      <rPr>
        <sz val="10"/>
        <rFont val="Arial"/>
        <family val="2"/>
      </rPr>
      <t xml:space="preserve">Add </t>
    </r>
    <r>
      <rPr>
        <sz val="8"/>
        <color rgb="FF666666"/>
        <rFont val="Arial"/>
        <family val="2"/>
      </rPr>
      <t xml:space="preserve">(unsigned)</t>
    </r>
  </si>
  <si>
    <t xml:space="preserve">add</t>
  </si>
  <si>
    <t xml:space="preserve">Arithmetic</t>
  </si>
  <si>
    <t xml:space="preserve">adc inc inx iny</t>
  </si>
  <si>
    <t xml:space="preserve">O1 + O2 → O1</t>
  </si>
  <si>
    <t xml:space="preserve">n, v, z, c</t>
  </si>
  <si>
    <r>
      <rPr>
        <sz val="10"/>
        <rFont val="Arial"/>
        <family val="2"/>
      </rPr>
      <t xml:space="preserve">Add </t>
    </r>
    <r>
      <rPr>
        <sz val="8"/>
        <color rgb="FF666666"/>
        <rFont val="Arial"/>
        <family val="2"/>
      </rPr>
      <t xml:space="preserve">(signed)</t>
    </r>
  </si>
  <si>
    <t xml:space="preserve">O1:s + O2:s → O1</t>
  </si>
  <si>
    <r>
      <rPr>
        <sz val="10"/>
        <rFont val="Arial"/>
        <family val="2"/>
      </rPr>
      <t xml:space="preserve">Subtract </t>
    </r>
    <r>
      <rPr>
        <sz val="8"/>
        <color rgb="FF666666"/>
        <rFont val="Arial"/>
        <family val="2"/>
      </rPr>
      <t xml:space="preserve">(unsigned)</t>
    </r>
  </si>
  <si>
    <t xml:space="preserve">sub</t>
  </si>
  <si>
    <t xml:space="preserve">sbc dec dex dey</t>
  </si>
  <si>
    <t xml:space="preserve">O1 - O2 → O1</t>
  </si>
  <si>
    <r>
      <rPr>
        <sz val="10"/>
        <rFont val="Arial"/>
        <family val="2"/>
      </rPr>
      <t xml:space="preserve">Subtract </t>
    </r>
    <r>
      <rPr>
        <sz val="8"/>
        <color rgb="FF666666"/>
        <rFont val="Arial"/>
        <family val="2"/>
      </rPr>
      <t xml:space="preserve">(signed)</t>
    </r>
  </si>
  <si>
    <t xml:space="preserve">O1:s – O2:s → O1</t>
  </si>
  <si>
    <r>
      <rPr>
        <sz val="10"/>
        <rFont val="Arial"/>
        <family val="2"/>
      </rPr>
      <t xml:space="preserve">Compare </t>
    </r>
    <r>
      <rPr>
        <sz val="8"/>
        <color rgb="FF666666"/>
        <rFont val="Arial"/>
        <family val="2"/>
      </rPr>
      <t xml:space="preserve">(unsigned)</t>
    </r>
  </si>
  <si>
    <t xml:space="preserve">cmp</t>
  </si>
  <si>
    <t xml:space="preserve">cmp cpx cpy</t>
  </si>
  <si>
    <t xml:space="preserve">O1 - O2</t>
  </si>
  <si>
    <t xml:space="preserve">n, z, c</t>
  </si>
  <si>
    <r>
      <rPr>
        <sz val="10"/>
        <rFont val="Arial"/>
        <family val="2"/>
      </rPr>
      <t xml:space="preserve">Compare </t>
    </r>
    <r>
      <rPr>
        <sz val="8"/>
        <color rgb="FF666666"/>
        <rFont val="Arial"/>
        <family val="2"/>
      </rPr>
      <t xml:space="preserve">(signed)</t>
    </r>
  </si>
  <si>
    <t xml:space="preserve">O1: - O2:s</t>
  </si>
  <si>
    <t xml:space="preserve">Subcopy bytes</t>
  </si>
  <si>
    <t xml:space="preserve">scp</t>
  </si>
  <si>
    <t xml:space="preserve">tax tay tcd tcs tdc tsc tsx txa</t>
  </si>
  <si>
    <t xml:space="preserve">R1:[O1]...R1:[O1+N] → R2:[O2]...R2:[O2+N]</t>
  </si>
  <si>
    <t xml:space="preserve">Copies bytes from the index in the first register to the second register for count bytes, index incrementing.  Subcopy ignores the set width of a register.  </t>
  </si>
  <si>
    <t xml:space="preserve">txs txy tya tyx tdc xba</t>
  </si>
  <si>
    <t xml:space="preserve">Subcopy bits</t>
  </si>
  <si>
    <t xml:space="preserve">scb</t>
  </si>
  <si>
    <t xml:space="preserve">R1:b[O1]...R1:b[O1+N] → R2:b[O2]...R2:b[O2+N]</t>
  </si>
  <si>
    <t xml:space="preserve">Copies bits from index in first register to second register for count bits, index incrementing.  Subcopy ignores the set width of a register.  </t>
  </si>
  <si>
    <t xml:space="preserve">Jump absolute</t>
  </si>
  <si>
    <t xml:space="preserve">jmp</t>
  </si>
  <si>
    <t xml:space="preserve">Flow</t>
  </si>
  <si>
    <t xml:space="preserve">O2 → C</t>
  </si>
  <si>
    <t xml:space="preserve">Jump absolute subroutine</t>
  </si>
  <si>
    <t xml:space="preserve">jsr</t>
  </si>
  <si>
    <t xml:space="preserve">C+i → C; C→ [S]; S-4 → S; {P → [S]; S-2 → S}; O2 → C</t>
  </si>
  <si>
    <t xml:space="preserve">The processor status P can be optionally pushed on any stack by the Jump instruction</t>
  </si>
  <si>
    <t xml:space="preserve">Jump relative</t>
  </si>
  <si>
    <t xml:space="preserve">bra</t>
  </si>
  <si>
    <t xml:space="preserve">C+i → C; C + O2 → C</t>
  </si>
  <si>
    <t xml:space="preserve">The processor count C is taken as the opcode of the next instruction before relative adjustment</t>
  </si>
  <si>
    <t xml:space="preserve">Jump relative subroutine</t>
  </si>
  <si>
    <t xml:space="preserve">brsr</t>
  </si>
  <si>
    <t xml:space="preserve">C+i → C; C→ [S]; S-4 → S; {P → [S]; S-2 → S}; C + O2 → C</t>
  </si>
  <si>
    <t xml:space="preserve">Push processor state</t>
  </si>
  <si>
    <t xml:space="preserve">psh</t>
  </si>
  <si>
    <t xml:space="preserve">State</t>
  </si>
  <si>
    <t xml:space="preserve">php</t>
  </si>
  <si>
    <t xml:space="preserve">P → [S]; S-2 → S</t>
  </si>
  <si>
    <t xml:space="preserve">Push program count</t>
  </si>
  <si>
    <t xml:space="preserve">C → [S]; S-4 → S</t>
  </si>
  <si>
    <t xml:space="preserve">Return</t>
  </si>
  <si>
    <t xml:space="preserve">ret</t>
  </si>
  <si>
    <t xml:space="preserve">rts rtl</t>
  </si>
  <si>
    <t xml:space="preserve">{S+2 → S; [S] → P}; S+4 → S; [S] → C</t>
  </si>
  <si>
    <t xml:space="preserve">n, v, z, c, f, g, a, b, x, y, e, l.</t>
  </si>
  <si>
    <t xml:space="preserve">Pull processor state</t>
  </si>
  <si>
    <t xml:space="preserve">pul</t>
  </si>
  <si>
    <t xml:space="preserve">plp</t>
  </si>
  <si>
    <t xml:space="preserve">S+2 → S; [S] → P</t>
  </si>
  <si>
    <t xml:space="preserve">Return from interrupt</t>
  </si>
  <si>
    <t xml:space="preserve">rti</t>
  </si>
  <si>
    <t xml:space="preserve">S+2 → S; [S] → P; S+4 → S; [S] → C</t>
  </si>
  <si>
    <t xml:space="preserve">Set state bits</t>
  </si>
  <si>
    <t xml:space="preserve">sep</t>
  </si>
  <si>
    <t xml:space="preserve">sep sec sei</t>
  </si>
  <si>
    <t xml:space="preserve">P∨embedded → P</t>
  </si>
  <si>
    <t xml:space="preserve">n, v, z, c, f, g, e, l.</t>
  </si>
  <si>
    <t xml:space="preserve">Clear state bits</t>
  </si>
  <si>
    <t xml:space="preserve">cep</t>
  </si>
  <si>
    <t xml:space="preserve">rep clc </t>
  </si>
  <si>
    <t xml:space="preserve">P∧!embedded → P</t>
  </si>
  <si>
    <t xml:space="preserve">Set register width</t>
  </si>
  <si>
    <t xml:space="preserve">wth</t>
  </si>
  <si>
    <t xml:space="preserve">rep sep cli clv</t>
  </si>
  <si>
    <t xml:space="preserve">O → r</t>
  </si>
  <si>
    <t xml:space="preserve">a, b, x, y</t>
  </si>
  <si>
    <t xml:space="preserve">Set two register widths</t>
  </si>
  <si>
    <t xml:space="preserve">wtth</t>
  </si>
  <si>
    <t xml:space="preserve">O2 → r1; O2 → r2 </t>
  </si>
  <si>
    <t xml:space="preserve">Break</t>
  </si>
  <si>
    <t xml:space="preserve">brk</t>
  </si>
  <si>
    <t xml:space="preserve">brk cop</t>
  </si>
  <si>
    <t xml:space="preserve">C+i → C; C→ [S]; S-4 → S; P → S; S-2 → S; [vector] → C</t>
  </si>
  <si>
    <t xml:space="preserve">Stop</t>
  </si>
  <si>
    <t xml:space="preserve">stp</t>
  </si>
  <si>
    <t xml:space="preserve">stp wai</t>
  </si>
  <si>
    <t xml:space="preserve">1 → Clock</t>
  </si>
  <si>
    <t xml:space="preserve">Get register width</t>
  </si>
  <si>
    <t xml:space="preserve">gwth</t>
  </si>
  <si>
    <t xml:space="preserve">r → R</t>
  </si>
  <si>
    <t xml:space="preserve">Extend register width</t>
  </si>
  <si>
    <t xml:space="preserve">wthx</t>
  </si>
  <si>
    <t xml:space="preserve">xR:[O-r...O] → R; O → r</t>
  </si>
  <si>
    <t xml:space="preserve">Branch on set</t>
  </si>
  <si>
    <t xml:space="preserve">bras</t>
  </si>
  <si>
    <t xml:space="preserve">bcs beq bvs bmi </t>
  </si>
  <si>
    <t xml:space="preserve">C+i → C; if p {C + O2 → C}</t>
  </si>
  <si>
    <t xml:space="preserve">Branch on clear</t>
  </si>
  <si>
    <t xml:space="preserve">brac</t>
  </si>
  <si>
    <t xml:space="preserve">bcc bpl bvc bne</t>
  </si>
  <si>
    <t xml:space="preserve">C+i → C; if !p {C + O2 → C}</t>
  </si>
  <si>
    <t xml:space="preserve">Branch on set and set</t>
  </si>
  <si>
    <t xml:space="preserve">brasa</t>
  </si>
  <si>
    <t xml:space="preserve">C+i → C; if {p∧p} {C + O2 → C}</t>
  </si>
  <si>
    <t xml:space="preserve">Branch on set xor set</t>
  </si>
  <si>
    <t xml:space="preserve">braso</t>
  </si>
  <si>
    <t xml:space="preserve">C+i → C; if {p⊻p} {C + O2 → C}</t>
  </si>
  <si>
    <t xml:space="preserve">Branch always</t>
  </si>
  <si>
    <t xml:space="preserve">bra brl</t>
  </si>
  <si>
    <t xml:space="preserve">No operation</t>
  </si>
  <si>
    <t xml:space="preserve">nop</t>
  </si>
  <si>
    <t xml:space="preserve">nop wdm</t>
  </si>
  <si>
    <t xml:space="preserve">wait O2</t>
  </si>
  <si>
    <t xml:space="preserve">Shift left</t>
  </si>
  <si>
    <t xml:space="preserve">shl</t>
  </si>
  <si>
    <t xml:space="preserve">asl</t>
  </si>
  <si>
    <r>
      <rPr>
        <sz val="10"/>
        <rFont val="Arial"/>
        <family val="2"/>
      </rPr>
      <t xml:space="preserve">O1 </t>
    </r>
    <r>
      <rPr>
        <b val="true"/>
        <sz val="10"/>
        <rFont val="Arial"/>
        <family val="2"/>
      </rPr>
      <t xml:space="preserve">‹‹</t>
    </r>
    <r>
      <rPr>
        <sz val="10"/>
        <rFont val="Arial"/>
        <family val="2"/>
      </rPr>
      <t xml:space="preserve"> O2 → O1</t>
    </r>
  </si>
  <si>
    <t xml:space="preserve">z, c, v</t>
  </si>
  <si>
    <t xml:space="preserve">c is set to O1:b[o1] after shifting.  v is set to O1:b[o1+1] after shifting.</t>
  </si>
  <si>
    <t xml:space="preserve">Shift right</t>
  </si>
  <si>
    <t xml:space="preserve">shr</t>
  </si>
  <si>
    <t xml:space="preserve">lsr</t>
  </si>
  <si>
    <r>
      <rPr>
        <sz val="10"/>
        <rFont val="Arial"/>
        <family val="2"/>
      </rPr>
      <t xml:space="preserve">O1 </t>
    </r>
    <r>
      <rPr>
        <b val="true"/>
        <sz val="10"/>
        <rFont val="Arial"/>
        <family val="2"/>
      </rPr>
      <t xml:space="preserve">››</t>
    </r>
    <r>
      <rPr>
        <sz val="10"/>
        <rFont val="Arial"/>
        <family val="2"/>
      </rPr>
      <t xml:space="preserve"> O2 → O1</t>
    </r>
  </si>
  <si>
    <t xml:space="preserve">n, z, c, v</t>
  </si>
  <si>
    <t xml:space="preserve">c is set to O1:b[-1] after shifting.  v is set to O1:b[-2] after shifting.  n is set to O1:b[o1-1] before shifting.</t>
  </si>
  <si>
    <t xml:space="preserve">Push register to</t>
  </si>
  <si>
    <t xml:space="preserve">State
(compound)</t>
  </si>
  <si>
    <t xml:space="preserve">pha phx phy phd</t>
  </si>
  <si>
    <t xml:space="preserve">{A → [S]; S-a → S}; {B → [S]; S-b → S};… {Y → [S]; S-y → S};   </t>
  </si>
  <si>
    <t xml:space="preserve">Pull into register</t>
  </si>
  <si>
    <t xml:space="preserve">pla pld plx ply</t>
  </si>
  <si>
    <t xml:space="preserve">{S+a → S; [S] → A}; {S+b → S; [S] → B};… {S+y → S; [S] → Y}; </t>
  </si>
  <si>
    <t xml:space="preserve">Push operand to</t>
  </si>
  <si>
    <t xml:space="preserve">pea pei per</t>
  </si>
  <si>
    <t xml:space="preserve">O2 → [S]; S-o → S</t>
  </si>
  <si>
    <t xml:space="preserve">Pull into address</t>
  </si>
  <si>
    <t xml:space="preserve">S+o → S; [S] → O2</t>
  </si>
  <si>
    <t xml:space="preserve">Multiply</t>
  </si>
  <si>
    <t xml:space="preserve">mul</t>
  </si>
  <si>
    <t xml:space="preserve">Arithmetic
(partial)</t>
  </si>
  <si>
    <t xml:space="preserve">See sheet ‘Multiplication’; {C+i → C}</t>
  </si>
  <si>
    <t xml:space="preserve">v, z</t>
  </si>
  <si>
    <t xml:space="preserve">W must be assigned 0 initially.  A and B are multiplicands.  Y contains the result when v is set.   Repeat partial multiply whilst v is not set. z set indicates Y is zero.</t>
  </si>
  <si>
    <t xml:space="preserve">Divide</t>
  </si>
  <si>
    <t xml:space="preserve">div</t>
  </si>
  <si>
    <t xml:space="preserve">See sheet ‘Division’; {C+i → C}</t>
  </si>
  <si>
    <t xml:space="preserve">v, z, c</t>
  </si>
  <si>
    <t xml:space="preserve">W must be assigned 0 initially.  A is the divisor, B is the quotient.  Y contains the dividend and W the remainder when v is set.   Repeat partial divide whilst v is not set.  z set indicates Y is zero.  c clear indicates W is zero.</t>
  </si>
  <si>
    <t xml:space="preserve">Negate</t>
  </si>
  <si>
    <t xml:space="preserve">neg</t>
  </si>
  <si>
    <t xml:space="preserve">0 - R → R</t>
  </si>
  <si>
    <t xml:space="preserve">Absolute</t>
  </si>
  <si>
    <t xml:space="preserve">abs</t>
  </si>
  <si>
    <t xml:space="preserve">abs(R) → R</t>
  </si>
  <si>
    <t xml:space="preserve">n set indicates the register was negative before absolute.  Really scraping out cycles at this point (as a support instruction to multiply and divide) so I’m not sure negate or absolute are worth the space.</t>
  </si>
  <si>
    <t xml:space="preserve">Find set bit</t>
  </si>
  <si>
    <t xml:space="preserve">fsbi</t>
  </si>
  <si>
    <t xml:space="preserve">if c {N+1 → N}; while R:b[N] = 0, N+1 → N</t>
  </si>
  <si>
    <t xml:space="preserve">v, c</t>
  </si>
  <si>
    <t xml:space="preserve">Scan first register from bit indexed by count register in direction until bit in first is high.  Pre-increment count if c set.  v set indicates no more bits.  c is always set.</t>
  </si>
  <si>
    <t xml:space="preserve">Find clear bit</t>
  </si>
  <si>
    <t xml:space="preserve">fcbi</t>
  </si>
  <si>
    <t xml:space="preserve">if c {N+1 → N}; while R:b[N] = 1, N+1 → N</t>
  </si>
  <si>
    <t xml:space="preserve">First register index zero (first[0]) is the least significant bit.</t>
  </si>
  <si>
    <t xml:space="preserve">Find non-zero nybble</t>
  </si>
  <si>
    <t xml:space="preserve">fsny</t>
  </si>
  <si>
    <t xml:space="preserve">if c {N+1 → N}; while ∨R:n[N] = 0, N+1 → N</t>
  </si>
  <si>
    <t xml:space="preserve">Scan first register from nybble indexed by count register in direction until any bit in nybble is high.</t>
  </si>
  <si>
    <t xml:space="preserve">Find zero nybble</t>
  </si>
  <si>
    <t xml:space="preserve">fcny</t>
  </si>
  <si>
    <t xml:space="preserve">if c {N+1 → N}; while ∧R:n[N] = 1, N+1 → N</t>
  </si>
  <si>
    <t xml:space="preserve">Scan first register from nybble indexed by count register in direction until any bit in nybble is low.</t>
  </si>
  <si>
    <t xml:space="preserve">Find non-zero byte</t>
  </si>
  <si>
    <t xml:space="preserve">fsby</t>
  </si>
  <si>
    <t xml:space="preserve">if c {N+1 → N}; while ∨R:[N] = 0, N+1 → N</t>
  </si>
  <si>
    <t xml:space="preserve">Scan first register from byte indexed by count register in direction until any bit in byte is high.</t>
  </si>
  <si>
    <t xml:space="preserve">Find zero byte</t>
  </si>
  <si>
    <t xml:space="preserve">fcby</t>
  </si>
  <si>
    <t xml:space="preserve">if c {N+1 → N}; while ∧R:[N] = 1, N+1 → N</t>
  </si>
  <si>
    <t xml:space="preserve">Note all examples assume LSB to MSB.  The opposite direction is also possible.  Scan is only over the width of the bits in the first register.</t>
  </si>
  <si>
    <t xml:space="preserve">Block copy</t>
  </si>
  <si>
    <t xml:space="preserve">bcpy</t>
  </si>
  <si>
    <t xml:space="preserve">Logical
(partial)</t>
  </si>
  <si>
    <t xml:space="preserve">R → [V]; A-1 → A; V+a → V; {C+i → C}</t>
  </si>
  <si>
    <t xml:space="preserve">Store R into [V].   Increment V, decrement A.  v set indicates A is negative after decrement.</t>
  </si>
  <si>
    <t xml:space="preserve">Block and</t>
  </si>
  <si>
    <t xml:space="preserve">band</t>
  </si>
  <si>
    <t xml:space="preserve">[V] ∧R → [V]; A-1 → A; V+a → V; {C+i → C}</t>
  </si>
  <si>
    <t xml:space="preserve">n, v, z</t>
  </si>
  <si>
    <t xml:space="preserve">Load [V] into D.  And D with R.  Store D into [V].  Increment V, decrement A.  v set indicates A is negative after decrement.  z set indicates D was 0.  n indicates D was negative.</t>
  </si>
  <si>
    <t xml:space="preserve">Block test</t>
  </si>
  <si>
    <t xml:space="preserve">btst</t>
  </si>
  <si>
    <t xml:space="preserve">[V] ∧R; A-1 → A; V+a → V; {C+i → C}</t>
  </si>
  <si>
    <t xml:space="preserve">Load [V] into D.  And D with R.  Increment V, decrement A.  v set indicates A is negative after decrement.  z set indicates D was 0.  n indicates D was negative.</t>
  </si>
  <si>
    <t xml:space="preserve">Block or</t>
  </si>
  <si>
    <t xml:space="preserve">bor</t>
  </si>
  <si>
    <t xml:space="preserve">[V] ∨R → [V]; A-1 → A; V+a → V; {C+i → C}</t>
  </si>
  <si>
    <t xml:space="preserve">Block xor</t>
  </si>
  <si>
    <t xml:space="preserve">bxor</t>
  </si>
  <si>
    <t xml:space="preserve">[V] ⊻R → [V]; A-1 → A; V+a → V; {C+i → C}</t>
  </si>
  <si>
    <r>
      <rPr>
        <sz val="10"/>
        <rFont val="Arial"/>
        <family val="2"/>
      </rPr>
      <t xml:space="preserve">Block add </t>
    </r>
    <r>
      <rPr>
        <sz val="8"/>
        <color rgb="FF666666"/>
        <rFont val="Arial"/>
        <family val="2"/>
      </rPr>
      <t xml:space="preserve">(unsigned)</t>
    </r>
  </si>
  <si>
    <t xml:space="preserve">badu</t>
  </si>
  <si>
    <t xml:space="preserve">[V] + R → [V]; A-1 → A; V+a → V; {C+i → C}</t>
  </si>
  <si>
    <r>
      <rPr>
        <sz val="10"/>
        <rFont val="Arial"/>
        <family val="2"/>
      </rPr>
      <t xml:space="preserve">Block add </t>
    </r>
    <r>
      <rPr>
        <sz val="8"/>
        <color rgb="FF666666"/>
        <rFont val="Arial"/>
        <family val="2"/>
      </rPr>
      <t xml:space="preserve">(signed)</t>
    </r>
  </si>
  <si>
    <t xml:space="preserve">badd</t>
  </si>
  <si>
    <r>
      <rPr>
        <sz val="10"/>
        <rFont val="Arial"/>
        <family val="2"/>
      </rPr>
      <t xml:space="preserve">Block subtract </t>
    </r>
    <r>
      <rPr>
        <sz val="8"/>
        <color rgb="FF666666"/>
        <rFont val="Arial"/>
        <family val="2"/>
      </rPr>
      <t xml:space="preserve">(unsigned)</t>
    </r>
  </si>
  <si>
    <t xml:space="preserve">bsbu</t>
  </si>
  <si>
    <t xml:space="preserve">[V] - R → [V]; A-1 → A; V+a → V; {C+i → C}</t>
  </si>
  <si>
    <r>
      <rPr>
        <sz val="10"/>
        <rFont val="Arial"/>
        <family val="2"/>
      </rPr>
      <t xml:space="preserve">Block subtract </t>
    </r>
    <r>
      <rPr>
        <sz val="8"/>
        <color rgb="FF666666"/>
        <rFont val="Arial"/>
        <family val="2"/>
      </rPr>
      <t xml:space="preserve">(signed)</t>
    </r>
  </si>
  <si>
    <t xml:space="preserve">bsub</t>
  </si>
  <si>
    <t xml:space="preserve">Load [V] into D.  Subtract R from D.  Store D into [V].  Increment V, decrement A.  v set indicates A is negative after decrement.  z set indicates D was 0.  n indicates D was negative.</t>
  </si>
  <si>
    <r>
      <rPr>
        <sz val="10"/>
        <rFont val="Arial"/>
        <family val="2"/>
      </rPr>
      <t xml:space="preserve">Block compare </t>
    </r>
    <r>
      <rPr>
        <sz val="8"/>
        <color rgb="FF666666"/>
        <rFont val="Arial"/>
        <family val="2"/>
      </rPr>
      <t xml:space="preserve">(unsigned)</t>
    </r>
  </si>
  <si>
    <t xml:space="preserve">bcmu</t>
  </si>
  <si>
    <t xml:space="preserve">[V] - R; A-1 → A; V+a → V; {C+i → C}</t>
  </si>
  <si>
    <t xml:space="preserve">Load [V] into D.  Subtract R from D.   Increment V, decrement A.  v set indicates A is negative after decrement.  z set indicates D was 0.  n indicates D was negative.</t>
  </si>
  <si>
    <r>
      <rPr>
        <sz val="10"/>
        <rFont val="Arial"/>
        <family val="2"/>
      </rPr>
      <t xml:space="preserve">Block compare </t>
    </r>
    <r>
      <rPr>
        <sz val="8"/>
        <color rgb="FF666666"/>
        <rFont val="Arial"/>
        <family val="2"/>
      </rPr>
      <t xml:space="preserve">(signed)</t>
    </r>
  </si>
  <si>
    <t xml:space="preserve">bcmp</t>
  </si>
  <si>
    <t xml:space="preserve">Block precopy</t>
  </si>
  <si>
    <t xml:space="preserve">bpcpy</t>
  </si>
  <si>
    <t xml:space="preserve">[V]; R → [V]; A-1 → A; V+a → V; {C+i → C}</t>
  </si>
  <si>
    <t xml:space="preserve">Load [V] into D.  z set indicates D was 0.  n indicates D was negative.  Store R into [V].   Increment V, decrement A.  v set indicates A is negative after decrement.</t>
  </si>
  <si>
    <t xml:space="preserve">Block preand</t>
  </si>
  <si>
    <t xml:space="preserve">bpand</t>
  </si>
  <si>
    <t xml:space="preserve">Load [V] into D.  z set indicates D was 0.  n indicates D was negative.  And D with R.  Store D into [V].  Increment V, decrement A.  v set indicates A is negative after decrement.</t>
  </si>
  <si>
    <t xml:space="preserve">Block preor</t>
  </si>
  <si>
    <t xml:space="preserve">bpor</t>
  </si>
  <si>
    <t xml:space="preserve">Block prexor</t>
  </si>
  <si>
    <t xml:space="preserve">bpxor</t>
  </si>
  <si>
    <t xml:space="preserve">Vector copy</t>
  </si>
  <si>
    <t xml:space="preserve">vcpy</t>
  </si>
  <si>
    <t xml:space="preserve">[W] → [V]; A-1 → A; V+a → V; W+a → W; {C+i → C}</t>
  </si>
  <si>
    <t xml:space="preserve">Load [W] into D.  Store D into [V].   Increment V, Increment W, decrement A.  v set indicates A is negative after decrement.  z set indicates D was 0.  n indicates D was negative.</t>
  </si>
  <si>
    <t xml:space="preserve">Vector invert</t>
  </si>
  <si>
    <t xml:space="preserve">vnot</t>
  </si>
  <si>
    <t xml:space="preserve">![W] → [V]; A-1 → A; V+a → V; W+a → W; {C+i → C}</t>
  </si>
  <si>
    <t xml:space="preserve">Load [W] into D.  Invert D.  Store D into [V].   Increment V, Increment W, decrement A.  v set indicates A is negative after decrement.  z set indicates D was 0.  n indicates D was negative.</t>
  </si>
  <si>
    <t xml:space="preserve">Vector and</t>
  </si>
  <si>
    <t xml:space="preserve">vand</t>
  </si>
  <si>
    <t xml:space="preserve">[V] ∧[W] → [V]; A-1 → A; V+a → V; W+a → W; {C+i → C}</t>
  </si>
  <si>
    <r>
      <rPr>
        <sz val="10"/>
        <rFont val="Arial"/>
        <family val="2"/>
      </rPr>
      <t xml:space="preserve">Load [W] into D</t>
    </r>
    <r>
      <rPr>
        <vertAlign val="subscript"/>
        <sz val="10"/>
        <rFont val="Arial"/>
        <family val="2"/>
      </rPr>
      <t xml:space="preserve">I</t>
    </r>
    <r>
      <rPr>
        <sz val="10"/>
        <rFont val="Arial"/>
        <family val="2"/>
      </rPr>
      <t xml:space="preserve">.  Load [V] into D</t>
    </r>
    <r>
      <rPr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. And D</t>
    </r>
    <r>
      <rPr>
        <vertAlign val="subscript"/>
        <sz val="10"/>
        <rFont val="Arial"/>
        <family val="2"/>
      </rPr>
      <t xml:space="preserve">I</t>
    </r>
    <r>
      <rPr>
        <sz val="10"/>
        <rFont val="Arial"/>
        <family val="2"/>
      </rPr>
      <t xml:space="preserve"> with D</t>
    </r>
    <r>
      <rPr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. Store D</t>
    </r>
    <r>
      <rPr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 into [V].  Increment V, increment W, decrement A.  v set indicates A is negative after decrement.  z set indicates D</t>
    </r>
    <r>
      <rPr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 was 0.  n indicates D</t>
    </r>
    <r>
      <rPr>
        <vertAlign val="subscript"/>
        <sz val="10"/>
        <rFont val="Arial"/>
        <family val="2"/>
      </rPr>
      <t xml:space="preserve">J</t>
    </r>
    <r>
      <rPr>
        <sz val="10"/>
        <rFont val="Arial"/>
        <family val="2"/>
      </rPr>
      <t xml:space="preserve"> was negative.</t>
    </r>
  </si>
  <si>
    <t xml:space="preserve">Vector test</t>
  </si>
  <si>
    <t xml:space="preserve">vtst</t>
  </si>
  <si>
    <t xml:space="preserve">[V] ⊻[W] → [V]; A-1 → A; V+a → V; W+a → W; {C+i → C}</t>
  </si>
  <si>
    <t xml:space="preserve">Vector or</t>
  </si>
  <si>
    <t xml:space="preserve">vor</t>
  </si>
  <si>
    <t xml:space="preserve">[V] + [W] → [V]; A-1 → A; V+a → V; W+a → W; {C+i → C}</t>
  </si>
  <si>
    <t xml:space="preserve">Vector xor</t>
  </si>
  <si>
    <t xml:space="preserve">vxor</t>
  </si>
  <si>
    <r>
      <rPr>
        <sz val="10"/>
        <rFont val="Arial"/>
        <family val="2"/>
      </rPr>
      <t xml:space="preserve">Vector add </t>
    </r>
    <r>
      <rPr>
        <sz val="8"/>
        <color rgb="FF666666"/>
        <rFont val="Arial"/>
        <family val="2"/>
      </rPr>
      <t xml:space="preserve">(unsigned)</t>
    </r>
  </si>
  <si>
    <t xml:space="preserve">vadu</t>
  </si>
  <si>
    <t xml:space="preserve">[V] - [W] → [V]; A-1 → A; V+a → V; W+a → W; {C+i → C}</t>
  </si>
  <si>
    <r>
      <rPr>
        <sz val="10"/>
        <rFont val="Arial"/>
        <family val="2"/>
      </rPr>
      <t xml:space="preserve">Vector add </t>
    </r>
    <r>
      <rPr>
        <sz val="8"/>
        <color rgb="FF666666"/>
        <rFont val="Arial"/>
        <family val="2"/>
      </rPr>
      <t xml:space="preserve">(signed)</t>
    </r>
  </si>
  <si>
    <t xml:space="preserve">vadd</t>
  </si>
  <si>
    <r>
      <rPr>
        <sz val="10"/>
        <rFont val="Arial"/>
        <family val="2"/>
      </rPr>
      <t xml:space="preserve">Vector subtract </t>
    </r>
    <r>
      <rPr>
        <sz val="8"/>
        <color rgb="FF666666"/>
        <rFont val="Arial"/>
        <family val="2"/>
      </rPr>
      <t xml:space="preserve">(unsigned)</t>
    </r>
  </si>
  <si>
    <t xml:space="preserve">vsbu</t>
  </si>
  <si>
    <t xml:space="preserve">[V] - [W]; A-1 → A; V+a → V; W+a → W; {C+i → C}</t>
  </si>
  <si>
    <r>
      <rPr>
        <sz val="10"/>
        <rFont val="Arial"/>
        <family val="2"/>
      </rPr>
      <t xml:space="preserve">Vector subtract </t>
    </r>
    <r>
      <rPr>
        <sz val="8"/>
        <color rgb="FF666666"/>
        <rFont val="Arial"/>
        <family val="2"/>
      </rPr>
      <t xml:space="preserve">(signed)</t>
    </r>
  </si>
  <si>
    <t xml:space="preserve">vsub</t>
  </si>
  <si>
    <r>
      <rPr>
        <sz val="10"/>
        <rFont val="Arial"/>
        <family val="2"/>
      </rPr>
      <t xml:space="preserve">Vector compare </t>
    </r>
    <r>
      <rPr>
        <sz val="8"/>
        <color rgb="FF666666"/>
        <rFont val="Arial"/>
        <family val="2"/>
      </rPr>
      <t xml:space="preserve">(unsigned)</t>
    </r>
  </si>
  <si>
    <t xml:space="preserve">vcmu</t>
  </si>
  <si>
    <r>
      <rPr>
        <sz val="10"/>
        <rFont val="Arial"/>
        <family val="2"/>
      </rPr>
      <t xml:space="preserve">Vector compare </t>
    </r>
    <r>
      <rPr>
        <sz val="8"/>
        <color rgb="FF666666"/>
        <rFont val="Arial"/>
        <family val="2"/>
      </rPr>
      <t xml:space="preserve">(signed)</t>
    </r>
  </si>
  <si>
    <t xml:space="preserve">vcmp</t>
  </si>
  <si>
    <t xml:space="preserve">Vector precopy</t>
  </si>
  <si>
    <t xml:space="preserve">vpcpy</t>
  </si>
  <si>
    <t xml:space="preserve">Vector preand</t>
  </si>
  <si>
    <t xml:space="preserve">vpand</t>
  </si>
  <si>
    <t xml:space="preserve">Vector preor</t>
  </si>
  <si>
    <t xml:space="preserve">vpor</t>
  </si>
  <si>
    <t xml:space="preserve">Vector prexor</t>
  </si>
  <si>
    <t xml:space="preserve">vpxor</t>
  </si>
  <si>
    <t xml:space="preserve">Set hardware all</t>
  </si>
  <si>
    <t xml:space="preserve">Hardware</t>
  </si>
  <si>
    <t xml:space="preserve">R → H</t>
  </si>
  <si>
    <t xml:space="preserve">Get hardware all</t>
  </si>
  <si>
    <t xml:space="preserve">hwg</t>
  </si>
  <si>
    <t xml:space="preserve">H → R</t>
  </si>
  <si>
    <t xml:space="preserve">Set hardware bits</t>
  </si>
  <si>
    <t xml:space="preserve">hwsp</t>
  </si>
  <si>
    <t xml:space="preserve">H∨O2 → H</t>
  </si>
  <si>
    <t xml:space="preserve">Clear hardware bits</t>
  </si>
  <si>
    <t xml:space="preserve">hwcp</t>
  </si>
  <si>
    <t xml:space="preserve">H∧!O2 → H</t>
  </si>
  <si>
    <t xml:space="preserve">Bit to status</t>
  </si>
  <si>
    <t xml:space="preserve">bist</t>
  </si>
  <si>
    <t xml:space="preserve">R:b[N] → p</t>
  </si>
  <si>
    <t xml:space="preserve">n, v, z, c, f, g</t>
  </si>
  <si>
    <t xml:space="preserve">Status to bit</t>
  </si>
  <si>
    <t xml:space="preserve">stab</t>
  </si>
  <si>
    <t xml:space="preserve">p → R:b[N]</t>
  </si>
  <si>
    <t xml:space="preserve">Status to status</t>
  </si>
  <si>
    <t xml:space="preserve">stat</t>
  </si>
  <si>
    <t xml:space="preserve">p → p</t>
  </si>
  <si>
    <t xml:space="preserve">Note:
  Where different instructions appear to have the same bit encodings
  then somewhere else in the opcode is a distinguishing bit.</t>
  </si>
  <si>
    <t xml:space="preserve">Note:
  Branch always and Jump relative are have identical functionality
  if their operand is an immediate value.</t>
  </si>
  <si>
    <t xml:space="preserve">Note:
  The following W65C816 instructions are missing a one-to-one match with the 65C64
  They can be sythesised:</t>
  </si>
  <si>
    <t xml:space="preserve">rol</t>
  </si>
  <si>
    <t xml:space="preserve">stat f, c
shl A, 1
stab (A, 0), f</t>
  </si>
  <si>
    <t xml:space="preserve">Copy carry (c) into user flag (f).
Shift A left inserting zero on the right.
Copy f into A at bit position 0.</t>
  </si>
  <si>
    <t xml:space="preserve">ror</t>
  </si>
  <si>
    <t xml:space="preserve">stat f, c
gwth X, (A, -1)
shr A, 1
stab (A, X), f</t>
  </si>
  <si>
    <t xml:space="preserve">Copy c into f.
Get width of A (in bits -1) into X.
Shift A right inserting zero on the left.
Copy f into A at bit position X.</t>
  </si>
  <si>
    <t xml:space="preserve">mvn</t>
  </si>
  <si>
    <t xml:space="preserve">vcpy W, V, -1, A, 8
</t>
  </si>
  <si>
    <t xml:space="preserve">Copy value in address contained in W to address contained in V, decrement W, decrement V, decrement A and set n from A.  Branch if negative is not set back to vcpy.
</t>
  </si>
  <si>
    <t xml:space="preserve">mvp</t>
  </si>
  <si>
    <t xml:space="preserve">vcpy W, V, +1, A, 8
</t>
  </si>
  <si>
    <t xml:space="preserve">Copy value in address contained in W to address contained in V, increment W, increment V, decrement A and set n from A.  Branch if negative is not set back to vcpy.
</t>
  </si>
  <si>
    <t xml:space="preserve">trb</t>
  </si>
  <si>
    <t xml:space="preserve">xor A, -1
and [M], A</t>
  </si>
  <si>
    <t xml:space="preserve">Assign A with not A.
Copy value in memory address M into internal register D, and A with D assign to D, copy D into address M.</t>
  </si>
  <si>
    <t xml:space="preserve">  or they need to be fully implemented in source:</t>
  </si>
  <si>
    <t xml:space="preserve">cld</t>
  </si>
  <si>
    <t xml:space="preserve">sed</t>
  </si>
  <si>
    <t xml:space="preserve"> or they are meaningless outside of the W65C816 processor.</t>
  </si>
  <si>
    <t xml:space="preserve">phb phk plb xce</t>
  </si>
  <si>
    <t xml:space="preserve">Mode</t>
  </si>
  <si>
    <t xml:space="preserve">Address Absolute</t>
  </si>
  <si>
    <t xml:space="preserve">Address Offset</t>
  </si>
  <si>
    <t xml:space="preserve">Address Register</t>
  </si>
  <si>
    <t xml:space="preserve">Absolute:</t>
  </si>
  <si>
    <t xml:space="preserve">Address</t>
  </si>
  <si>
    <t xml:space="preserve">Offset:</t>
  </si>
  <si>
    <t xml:space="preserve">Offset</t>
  </si>
  <si>
    <t xml:space="preserve">Register:</t>
  </si>
  <si>
    <t xml:space="preserve">Register</t>
  </si>
  <si>
    <t xml:space="preserve">16bit</t>
  </si>
  <si>
    <t xml:space="preserve">Instruction in memory:</t>
  </si>
  <si>
    <t xml:space="preserve">Opcode</t>
  </si>
  <si>
    <t xml:space="preserve">Low</t>
  </si>
  <si>
    <t xml:space="preserve">High</t>
  </si>
  <si>
    <t xml:space="preserve">32bit</t>
  </si>
  <si>
    <t xml:space="preserve">Address calculation:</t>
  </si>
  <si>
    <t xml:space="preserve">High:Low</t>
  </si>
  <si>
    <t xml:space="preserve">Addr LW</t>
  </si>
  <si>
    <t xml:space="preserve">0:Low</t>
  </si>
  <si>
    <t xml:space="preserve">Register A, B, S, V, W, X or Y</t>
  </si>
  <si>
    <t xml:space="preserve">=</t>
  </si>
  <si>
    <t xml:space="preserve">Effective Address</t>
  </si>
  <si>
    <t xml:space="preserve">Absolute Register:</t>
  </si>
  <si>
    <t xml:space="preserve">Address + Register</t>
  </si>
  <si>
    <t xml:space="preserve">Offset Register:</t>
  </si>
  <si>
    <t xml:space="preserve">Offset + Register</t>
  </si>
  <si>
    <t xml:space="preserve">Register Register:</t>
  </si>
  <si>
    <t xml:space="preserve">Register + Register</t>
  </si>
  <si>
    <t xml:space="preserve">Instruction:</t>
  </si>
  <si>
    <t xml:space="preserve">Register A, B, S or V</t>
  </si>
  <si>
    <t xml:space="preserve">+</t>
  </si>
  <si>
    <t xml:space="preserve">Register V, W, X or Y</t>
  </si>
  <si>
    <t xml:space="preserve">Absolute Indirect:</t>
  </si>
  <si>
    <t xml:space="preserve">[Address]</t>
  </si>
  <si>
    <t xml:space="preserve">Offset Indirect:</t>
  </si>
  <si>
    <t xml:space="preserve">[Offset]</t>
  </si>
  <si>
    <t xml:space="preserve">Register Indirect:</t>
  </si>
  <si>
    <t xml:space="preserve">[Register]</t>
  </si>
  <si>
    <t xml:space="preserve">[</t>
  </si>
  <si>
    <t xml:space="preserve">]</t>
  </si>
  <si>
    <t xml:space="preserve">Absolute Register Indirect:</t>
  </si>
  <si>
    <t xml:space="preserve">[Address + Register]</t>
  </si>
  <si>
    <t xml:space="preserve">Offset Register Indirect: </t>
  </si>
  <si>
    <t xml:space="preserve">[Offset + Register]</t>
  </si>
  <si>
    <t xml:space="preserve">Register Register Indirect: </t>
  </si>
  <si>
    <t xml:space="preserve">[Register + Register]</t>
  </si>
  <si>
    <t xml:space="preserve">Resultant Address</t>
  </si>
  <si>
    <t xml:space="preserve">Absolute Indirect Register:</t>
  </si>
  <si>
    <t xml:space="preserve">[Address] + Register</t>
  </si>
  <si>
    <t xml:space="preserve">Offset Indirect Register:</t>
  </si>
  <si>
    <t xml:space="preserve">[Offset] + Register</t>
  </si>
  <si>
    <t xml:space="preserve">Register Indirect Register:</t>
  </si>
  <si>
    <t xml:space="preserve">[Register] + Register</t>
  </si>
  <si>
    <t xml:space="preserve">Note:
  Some instructions further restrict the allowed registers.
  For example addition and subtraction restrict the second addressing operand to X or Y only.</t>
  </si>
  <si>
    <t xml:space="preserve">Note:
  Absolute addressing is encoded the same as Absolute Register addressing using the ‘zero’ register.
  Internally the zero addition is skipped when calculating the effecive address.</t>
  </si>
  <si>
    <t xml:space="preserve">       Opcode Encoding</t>
  </si>
  <si>
    <t xml:space="preserve">V0.1 Prelim             </t>
  </si>
  <si>
    <t xml:space="preserve">Opcode bit encoding</t>
  </si>
  <si>
    <t xml:space="preserve">Operand 16 bit encoding</t>
  </si>
  <si>
    <t xml:space="preserve">Copy</t>
  </si>
  <si>
    <t xml:space="preserve">Swap Operands</t>
  </si>
  <si>
    <t xml:space="preserve">Operand First</t>
  </si>
  <si>
    <t xml:space="preserve">Operand Second</t>
  </si>
  <si>
    <t xml:space="preserve">Copy, And, Test, Or, Xor</t>
  </si>
  <si>
    <t xml:space="preserve">And</t>
  </si>
  <si>
    <t xml:space="preserve">Addressing Mode Register</t>
  </si>
  <si>
    <t xml:space="preserve">Operand Access</t>
  </si>
  <si>
    <t xml:space="preserve">Address absolute low (addressing modes 2 – 5)
Address offset (addressing modes 6 – 9)</t>
  </si>
  <si>
    <t xml:space="preserve">Or</t>
  </si>
  <si>
    <t xml:space="preserve">A, B, S, V, W, X or Y</t>
  </si>
  <si>
    <t xml:space="preserve">None, A, B, S, V, W, X or Y</t>
  </si>
  <si>
    <t xml:space="preserve">Addressing Mode: 2 – 10, 12</t>
  </si>
  <si>
    <t xml:space="preserve">Xor</t>
  </si>
  <si>
    <t xml:space="preserve">Test</t>
  </si>
  <si>
    <t xml:space="preserve"> Swap Operands</t>
  </si>
  <si>
    <t xml:space="preserve">0, A, B, S, V, W, X or Y</t>
  </si>
  <si>
    <t xml:space="preserve">Embedded Value</t>
  </si>
  <si>
    <t xml:space="preserve">Embedded</t>
  </si>
  <si>
    <r>
      <rPr>
        <sz val="10"/>
        <rFont val="Arial"/>
        <family val="2"/>
      </rPr>
      <t xml:space="preserve">1
</t>
    </r>
    <r>
      <rPr>
        <sz val="8"/>
        <color rgb="FF666666"/>
        <rFont val="Arial"/>
        <family val="2"/>
      </rPr>
      <t xml:space="preserve">(implies swap)</t>
    </r>
  </si>
  <si>
    <t xml:space="preserve">-8 to -1</t>
  </si>
  <si>
    <t xml:space="preserve">1 to 8</t>
  </si>
  <si>
    <t xml:space="preserve">Addressing Mode Register 2</t>
  </si>
  <si>
    <t xml:space="preserve">Addressing Mode Register 1</t>
  </si>
  <si>
    <t xml:space="preserve">Not read (addressing modes 11, 13 – 14)</t>
  </si>
  <si>
    <t xml:space="preserve">V, W, X or Y</t>
  </si>
  <si>
    <t xml:space="preserve">A, B, S or V</t>
  </si>
  <si>
    <t xml:space="preserve">Addressing Mode: 11, 13 – 14</t>
  </si>
  <si>
    <t xml:space="preserve">Unused (2)</t>
  </si>
  <si>
    <t xml:space="preserve">Register Sign</t>
  </si>
  <si>
    <t xml:space="preserve">Not read (addressing mode 0)</t>
  </si>
  <si>
    <t xml:space="preserve">0 = Unsigned</t>
  </si>
  <si>
    <t xml:space="preserve">0, A, B, S, V, W, X, or Y</t>
  </si>
  <si>
    <t xml:space="preserve">Register: 0</t>
  </si>
  <si>
    <t xml:space="preserve">1 = Signed</t>
  </si>
  <si>
    <t xml:space="preserve">Immediate Sign</t>
  </si>
  <si>
    <t xml:space="preserve">Immediate Width</t>
  </si>
  <si>
    <t xml:space="preserve">Immediate Value (mode 1)</t>
  </si>
  <si>
    <t xml:space="preserve">Unused, 8, 16, 24, 32, 40, 48, 64</t>
  </si>
  <si>
    <t xml:space="preserve">Immediate: 1</t>
  </si>
  <si>
    <t xml:space="preserve">Not read</t>
  </si>
  <si>
    <t xml:space="preserve">Immediate 8 bits</t>
  </si>
  <si>
    <t xml:space="preserve">Immediate 16, 24, 32, 40, 48, 64 bits (byte 1)</t>
  </si>
  <si>
    <t xml:space="preserve">Immediate 16, 24, 32, 40, 48, 64 bits (low byte)</t>
  </si>
  <si>
    <t xml:space="preserve">Not read (embedded mode 15)</t>
  </si>
  <si>
    <t xml:space="preserve">1 to 16</t>
  </si>
  <si>
    <t xml:space="preserve">Embedded: 15</t>
  </si>
  <si>
    <t xml:space="preserve">-16 to -1</t>
  </si>
  <si>
    <t xml:space="preserve">Add</t>
  </si>
  <si>
    <t xml:space="preserve">Sub Instruction</t>
  </si>
  <si>
    <t xml:space="preserve">Add, Subtract, Compare</t>
  </si>
  <si>
    <t xml:space="preserve">Subtract</t>
  </si>
  <si>
    <t xml:space="preserve">Compare</t>
  </si>
  <si>
    <t xml:space="preserve">None, W, X or Y</t>
  </si>
  <si>
    <t xml:space="preserve">Addr Mode Register 2</t>
  </si>
  <si>
    <t xml:space="preserve">X or Y</t>
  </si>
  <si>
    <t xml:space="preserve">Operand Widths</t>
  </si>
  <si>
    <t xml:space="preserve">Subcopy</t>
  </si>
  <si>
    <t xml:space="preserve">Width Style</t>
  </si>
  <si>
    <t xml:space="preserve">Width (in bytes)</t>
  </si>
  <si>
    <t xml:space="preserve">0 = bytes</t>
  </si>
  <si>
    <t xml:space="preserve">Index Style</t>
  </si>
  <si>
    <t xml:space="preserve">Index (in bytes)</t>
  </si>
  <si>
    <t xml:space="preserve">0 = Register</t>
  </si>
  <si>
    <t xml:space="preserve">Unused (8)</t>
  </si>
  <si>
    <t xml:space="preserve">1 = Embedded</t>
  </si>
  <si>
    <t xml:space="preserve">0 to 7</t>
  </si>
  <si>
    <t xml:space="preserve">1 = bits</t>
  </si>
  <si>
    <t xml:space="preserve">Width (in bits)</t>
  </si>
  <si>
    <t xml:space="preserve">Index (in bits)</t>
  </si>
  <si>
    <t xml:space="preserve">0 to 63</t>
  </si>
  <si>
    <t xml:space="preserve">17 to 32</t>
  </si>
  <si>
    <t xml:space="preserve">33 to 48</t>
  </si>
  <si>
    <t xml:space="preserve">49 to 64</t>
  </si>
  <si>
    <t xml:space="preserve">Stack</t>
  </si>
  <si>
    <t xml:space="preserve">Operand</t>
  </si>
  <si>
    <t xml:space="preserve">Push Processor State</t>
  </si>
  <si>
    <t xml:space="preserve">Push Program Count</t>
  </si>
  <si>
    <t xml:space="preserve">Jump</t>
  </si>
  <si>
    <t xml:space="preserve">0 = Do nothing</t>
  </si>
  <si>
    <t xml:space="preserve">0 = Absolute</t>
  </si>
  <si>
    <t xml:space="preserve">Address low (addressing modes 2 – 5)
Offset (addressing modes 6 – 9)</t>
  </si>
  <si>
    <t xml:space="preserve">S, V, W or Y</t>
  </si>
  <si>
    <t xml:space="preserve">1 = Push</t>
  </si>
  <si>
    <t xml:space="preserve">1 = Relative</t>
  </si>
  <si>
    <t xml:space="preserve">A, B, S, V, W, X, or Y</t>
  </si>
  <si>
    <r>
      <rPr>
        <sz val="10"/>
        <rFont val="Arial"/>
        <family val="2"/>
      </rPr>
      <t xml:space="preserve">No jump, 8, 16, 24, 32, unused, unused, unused
</t>
    </r>
    <r>
      <rPr>
        <sz val="8"/>
        <color rgb="FF666666"/>
        <rFont val="Arial"/>
        <family val="2"/>
      </rPr>
      <t xml:space="preserve">(relative signed, absolute unsigned)</t>
    </r>
  </si>
  <si>
    <t xml:space="preserve">Immediate 16, 24, 32 bits (byte 1)</t>
  </si>
  <si>
    <t xml:space="preserve">Immediate 16, 24, 32 bits (low byte)</t>
  </si>
  <si>
    <t xml:space="preserve">Unused (16)</t>
  </si>
  <si>
    <t xml:space="preserve">Pull Processor State</t>
  </si>
  <si>
    <t xml:space="preserve">Pull Program Count</t>
  </si>
  <si>
    <t xml:space="preserve">Extend Instruction</t>
  </si>
  <si>
    <t xml:space="preserve">Return, State, Break, Stop, Extend</t>
  </si>
  <si>
    <t xml:space="preserve">0 = Return  </t>
  </si>
  <si>
    <t xml:space="preserve">0 = Return</t>
  </si>
  <si>
    <t xml:space="preserve">1 = Pull</t>
  </si>
  <si>
    <t xml:space="preserve">1 = RTI       </t>
  </si>
  <si>
    <t xml:space="preserve">Status</t>
  </si>
  <si>
    <t xml:space="preserve">EI Disable (ed)</t>
  </si>
  <si>
    <t xml:space="preserve">L.Disable (id)</t>
  </si>
  <si>
    <t xml:space="preserve">Flag (f)</t>
  </si>
  <si>
    <t xml:space="preserve">Flag (g)</t>
  </si>
  <si>
    <t xml:space="preserve">Negative (n)</t>
  </si>
  <si>
    <t xml:space="preserve">Overflow (v)</t>
  </si>
  <si>
    <t xml:space="preserve">Zero (z)</t>
  </si>
  <si>
    <t xml:space="preserve">Carry (c)</t>
  </si>
  <si>
    <t xml:space="preserve">0 = Set State                        </t>
  </si>
  <si>
    <t xml:space="preserve">1 = State</t>
  </si>
  <si>
    <t xml:space="preserve">1 = Clear State                     </t>
  </si>
  <si>
    <t xml:space="preserve">Register First</t>
  </si>
  <si>
    <t xml:space="preserve">Register Second</t>
  </si>
  <si>
    <t xml:space="preserve">A, B, X, Y</t>
  </si>
  <si>
    <t xml:space="preserve">2 = Set First Width                </t>
  </si>
  <si>
    <t xml:space="preserve">1 = 8 bits</t>
  </si>
  <si>
    <t xml:space="preserve">3 = Set First, Second Width   </t>
  </si>
  <si>
    <t xml:space="preserve">2 = 16 bits</t>
  </si>
  <si>
    <t xml:space="preserve">3 = 32 bits</t>
  </si>
  <si>
    <t xml:space="preserve">4 = 32 bits</t>
  </si>
  <si>
    <t xml:space="preserve">5 = 64 bits</t>
  </si>
  <si>
    <t xml:space="preserve">6 = 64 bits</t>
  </si>
  <si>
    <t xml:space="preserve">7 = 64 bits</t>
  </si>
  <si>
    <t xml:space="preserve">8 = 64 bits</t>
  </si>
  <si>
    <t xml:space="preserve">Unused, A, B, S, V, W, X, or Y</t>
  </si>
  <si>
    <t xml:space="preserve">Vector</t>
  </si>
  <si>
    <t xml:space="preserve">1023 = Reset</t>
  </si>
  <si>
    <t xml:space="preserve">2 = Break</t>
  </si>
  <si>
    <t xml:space="preserve">1022 = EInterrupt0</t>
  </si>
  <si>
    <t xml:space="preserve">1021 = EInterrupt1</t>
  </si>
  <si>
    <t xml:space="preserve">1020 = EInterrupt2</t>
  </si>
  <si>
    <t xml:space="preserve">1019 = EInterrupt3</t>
  </si>
  <si>
    <t xml:space="preserve">1018 = L.Interrupt</t>
  </si>
  <si>
    <t xml:space="preserve">1017 = HInterrupt0</t>
  </si>
  <si>
    <t xml:space="preserve">1016 = HInterrupt0</t>
  </si>
  <si>
    <t xml:space="preserve">1015 = HInterrupt0</t>
  </si>
  <si>
    <t xml:space="preserve">0 to 1014 (Software)</t>
  </si>
  <si>
    <t xml:space="preserve">Allow Wake on EInt3</t>
  </si>
  <si>
    <t xml:space="preserve">Allow Wake on EInt2</t>
  </si>
  <si>
    <t xml:space="preserve">Allow Wake on EInt1</t>
  </si>
  <si>
    <t xml:space="preserve">Allow Wake on EInt0</t>
  </si>
  <si>
    <t xml:space="preserve">Allow Wake on L.Int</t>
  </si>
  <si>
    <t xml:space="preserve">0 = Disallow</t>
  </si>
  <si>
    <t xml:space="preserve">0 = Stop</t>
  </si>
  <si>
    <t xml:space="preserve">3 = Stop (Kernel only)</t>
  </si>
  <si>
    <t xml:space="preserve">1 = Allow</t>
  </si>
  <si>
    <t xml:space="preserve">Register (to query)</t>
  </si>
  <si>
    <t xml:space="preserve">Decrement</t>
  </si>
  <si>
    <t xml:space="preserve">2 = Get width</t>
  </si>
  <si>
    <t xml:space="preserve">3 = Get Width</t>
  </si>
  <si>
    <t xml:space="preserve">1 = Decrement</t>
  </si>
  <si>
    <t xml:space="preserve">Unused (4)</t>
  </si>
  <si>
    <t xml:space="preserve">Extend</t>
  </si>
  <si>
    <t xml:space="preserve">3 = Extend</t>
  </si>
  <si>
    <t xml:space="preserve">0 = Zero extend</t>
  </si>
  <si>
    <t xml:space="preserve">3 = Extend width</t>
  </si>
  <si>
    <t xml:space="preserve">1 = Sign extend</t>
  </si>
  <si>
    <t xml:space="preserve">Status Flag First</t>
  </si>
  <si>
    <t xml:space="preserve">Status Flag Second</t>
  </si>
  <si>
    <t xml:space="preserve">Branch, Nop, Shift</t>
  </si>
  <si>
    <t xml:space="preserve">Immediate Value (extend instruction)</t>
  </si>
  <si>
    <t xml:space="preserve">0, 1, c, z, n, v, f or g</t>
  </si>
  <si>
    <t xml:space="preserve">c, z, n or v</t>
  </si>
  <si>
    <t xml:space="preserve">0 = First Clear             </t>
  </si>
  <si>
    <t xml:space="preserve">0 = Branch Qualified</t>
  </si>
  <si>
    <t xml:space="preserve">Not read (embedded)</t>
  </si>
  <si>
    <t xml:space="preserve">2, 4, 6, 8, -4, -6, -8, -10</t>
  </si>
  <si>
    <t xml:space="preserve">1 = First Set                </t>
  </si>
  <si>
    <t xml:space="preserve">2 = (First ∧ Second) Set</t>
  </si>
  <si>
    <t xml:space="preserve">3 = (First ⊻ Second) Set</t>
  </si>
  <si>
    <t xml:space="preserve">1 = Branch Qualified</t>
  </si>
  <si>
    <r>
      <rPr>
        <sz val="10"/>
        <rFont val="Arial"/>
        <family val="2"/>
      </rPr>
      <t xml:space="preserve">8, 16, 24, 32
</t>
    </r>
    <r>
      <rPr>
        <sz val="8"/>
        <color rgb="FF666666"/>
        <rFont val="Arial"/>
        <family val="2"/>
      </rPr>
      <t xml:space="preserve">(always signed)</t>
    </r>
  </si>
  <si>
    <t xml:space="preserve">1 = Branch Always</t>
  </si>
  <si>
    <t xml:space="preserve">-64 to 63</t>
  </si>
  <si>
    <t xml:space="preserve">0 = Always</t>
  </si>
  <si>
    <t xml:space="preserve">1 = Branch Never</t>
  </si>
  <si>
    <t xml:space="preserve">1 = Never</t>
  </si>
  <si>
    <t xml:space="preserve">2 = Shift Left  
3 = Shift Right</t>
  </si>
  <si>
    <t xml:space="preserve">A, B, S, V</t>
  </si>
  <si>
    <t xml:space="preserve">1 to 4</t>
  </si>
  <si>
    <t xml:space="preserve">5 to 8</t>
  </si>
  <si>
    <t xml:space="preserve">A, B, X or Y</t>
  </si>
  <si>
    <r>
      <rPr>
        <sz val="10"/>
        <rFont val="Arial"/>
        <family val="2"/>
      </rPr>
      <t xml:space="preserve">8, 16
</t>
    </r>
    <r>
      <rPr>
        <sz val="8"/>
        <color rgb="FF666666"/>
        <rFont val="Arial"/>
        <family val="2"/>
      </rPr>
      <t xml:space="preserve">(always unsigned)</t>
    </r>
  </si>
  <si>
    <t xml:space="preserve">Immediate 16 bits (high byte)</t>
  </si>
  <si>
    <t xml:space="preserve">Immediate 16 bits (low byte)</t>
  </si>
  <si>
    <t xml:space="preserve">Push</t>
  </si>
  <si>
    <t xml:space="preserve">Registers</t>
  </si>
  <si>
    <t xml:space="preserve">Push, Pull</t>
  </si>
  <si>
    <t xml:space="preserve">Not read (registers)</t>
  </si>
  <si>
    <t xml:space="preserve">Y</t>
  </si>
  <si>
    <t xml:space="preserve">X</t>
  </si>
  <si>
    <t xml:space="preserve">W</t>
  </si>
  <si>
    <t xml:space="preserve">V</t>
  </si>
  <si>
    <t xml:space="preserve">S</t>
  </si>
  <si>
    <t xml:space="preserve">B</t>
  </si>
  <si>
    <t xml:space="preserve">A</t>
  </si>
  <si>
    <t xml:space="preserve">0 = Push Register</t>
  </si>
  <si>
    <t xml:space="preserve">1 = Push Operand</t>
  </si>
  <si>
    <r>
      <rPr>
        <sz val="10"/>
        <rFont val="Arial"/>
        <family val="2"/>
      </rPr>
      <t xml:space="preserve">Unused, 8, 16, 24, 32, 40, 48, 64
</t>
    </r>
    <r>
      <rPr>
        <sz val="8"/>
        <color rgb="FF666666"/>
        <rFont val="Arial"/>
        <family val="2"/>
      </rPr>
      <t xml:space="preserve">(always unsigned)</t>
    </r>
  </si>
  <si>
    <t xml:space="preserve">Pull</t>
  </si>
  <si>
    <t xml:space="preserve">2 = Pull Register</t>
  </si>
  <si>
    <t xml:space="preserve">3 = Pull Operand</t>
  </si>
  <si>
    <t xml:space="preserve">Hardware set all</t>
  </si>
  <si>
    <t xml:space="preserve">Hardware Register Index</t>
  </si>
  <si>
    <t xml:space="preserve">Hardware, State</t>
  </si>
  <si>
    <t xml:space="preserve">0 – 63</t>
  </si>
  <si>
    <t xml:space="preserve">0 = Hardware Set all</t>
  </si>
  <si>
    <t xml:space="preserve">A, B, X, or Y</t>
  </si>
  <si>
    <t xml:space="preserve">8, 16, 32, 64
(always unsigned)</t>
  </si>
  <si>
    <t xml:space="preserve">Hardware get all</t>
  </si>
  <si>
    <t xml:space="preserve">1 = Hardware Get all</t>
  </si>
  <si>
    <t xml:space="preserve">Hardware set bits</t>
  </si>
  <si>
    <t xml:space="preserve">2 = Hardware Set bits</t>
  </si>
  <si>
    <t xml:space="preserve">Hardware clear bits</t>
  </si>
  <si>
    <t xml:space="preserve">3 = Hardware Clear bits</t>
  </si>
  <si>
    <t xml:space="preserve">Unused (1024)</t>
  </si>
  <si>
    <t xml:space="preserve">Status Flag</t>
  </si>
  <si>
    <t xml:space="preserve">4 = Bit to status</t>
  </si>
  <si>
    <t xml:space="preserve">Index</t>
  </si>
  <si>
    <t xml:space="preserve">c, z, n, v, f or g</t>
  </si>
  <si>
    <t xml:space="preserve">7 = Register</t>
  </si>
  <si>
    <t xml:space="preserve">Immediate</t>
  </si>
  <si>
    <t xml:space="preserve">6 = Immediate</t>
  </si>
  <si>
    <t xml:space="preserve">0, 1, 2, 3, 4 or 5</t>
  </si>
  <si>
    <t xml:space="preserve">5 = Status to bit</t>
  </si>
  <si>
    <t xml:space="preserve">Repeat Style</t>
  </si>
  <si>
    <t xml:space="preserve">Repeat</t>
  </si>
  <si>
    <t xml:space="preserve">0 = Register (increment)</t>
  </si>
  <si>
    <t xml:space="preserve">1 = Immediate (increment)</t>
  </si>
  <si>
    <t xml:space="preserve">2 = Register (decrement)</t>
  </si>
  <si>
    <t xml:space="preserve">3 = Immediate (decrement)</t>
  </si>
  <si>
    <t xml:space="preserve">7 = Status to status</t>
  </si>
  <si>
    <t xml:space="preserve">Unused (32)</t>
  </si>
  <si>
    <t xml:space="preserve">Multiply, Divide, Find</t>
  </si>
  <si>
    <t xml:space="preserve">0 = Multiply</t>
  </si>
  <si>
    <t xml:space="preserve">0 = Multiply  
0 = Divide    
0 = Absolute
0 = Negate  </t>
  </si>
  <si>
    <t xml:space="preserve">1 = Divide</t>
  </si>
  <si>
    <t xml:space="preserve">2 = Negate</t>
  </si>
  <si>
    <t xml:space="preserve">3 = Absolute</t>
  </si>
  <si>
    <t xml:space="preserve">Count Direction</t>
  </si>
  <si>
    <t xml:space="preserve">0 = Increment</t>
  </si>
  <si>
    <t xml:space="preserve">0 = Zero</t>
  </si>
  <si>
    <t xml:space="preserve">0 = bit</t>
  </si>
  <si>
    <t xml:space="preserve">1 = Find</t>
  </si>
  <si>
    <t xml:space="preserve">1 = Not zero</t>
  </si>
  <si>
    <t xml:space="preserve">1 = crumb</t>
  </si>
  <si>
    <t xml:space="preserve">2 = nybble</t>
  </si>
  <si>
    <t xml:space="preserve">3 = byte</t>
  </si>
  <si>
    <t xml:space="preserve">V Direction</t>
  </si>
  <si>
    <t xml:space="preserve">Allow Stop</t>
  </si>
  <si>
    <t xml:space="preserve">Stop Style</t>
  </si>
  <si>
    <t xml:space="preserve">Block, Vector</t>
  </si>
  <si>
    <t xml:space="preserve">0 = Run to completion</t>
  </si>
  <si>
    <t xml:space="preserve">0 = Stop on zero</t>
  </si>
  <si>
    <t xml:space="preserve">0 = Copy</t>
  </si>
  <si>
    <t xml:space="preserve">0 = Block operation</t>
  </si>
  <si>
    <t xml:space="preserve">1 = Stop on …</t>
  </si>
  <si>
    <t xml:space="preserve">1 = Stop on not zero</t>
  </si>
  <si>
    <t xml:space="preserve">1 = Unused</t>
  </si>
  <si>
    <t xml:space="preserve">2 = Stop on negative</t>
  </si>
  <si>
    <t xml:space="preserve">2 = And</t>
  </si>
  <si>
    <t xml:space="preserve">3 = Stop on not negative</t>
  </si>
  <si>
    <t xml:space="preserve">3 = Test</t>
  </si>
  <si>
    <t xml:space="preserve">Block add</t>
  </si>
  <si>
    <t xml:space="preserve">4 = Or</t>
  </si>
  <si>
    <t xml:space="preserve">Block subtract</t>
  </si>
  <si>
    <t xml:space="preserve">5 = Xor</t>
  </si>
  <si>
    <t xml:space="preserve">Block compare</t>
  </si>
  <si>
    <t xml:space="preserve">6 = Add signed</t>
  </si>
  <si>
    <t xml:space="preserve">7 = Add unsigned</t>
  </si>
  <si>
    <t xml:space="preserve">8 = Subtract signed</t>
  </si>
  <si>
    <t xml:space="preserve">9 = Subtract unsigned</t>
  </si>
  <si>
    <t xml:space="preserve">10 = Compare signed</t>
  </si>
  <si>
    <t xml:space="preserve">11 = Compare unsigned</t>
  </si>
  <si>
    <t xml:space="preserve">12 = Read Copy</t>
  </si>
  <si>
    <t xml:space="preserve">13 = Read And</t>
  </si>
  <si>
    <t xml:space="preserve">14 = Read Or</t>
  </si>
  <si>
    <t xml:space="preserve">15 = Read Xor</t>
  </si>
  <si>
    <t xml:space="preserve">W Direction</t>
  </si>
  <si>
    <t xml:space="preserve">Width</t>
  </si>
  <si>
    <t xml:space="preserve">0 = 8 bits</t>
  </si>
  <si>
    <t xml:space="preserve">1 = Vector operation</t>
  </si>
  <si>
    <t xml:space="preserve">1 = 16 bits</t>
  </si>
  <si>
    <t xml:space="preserve">1 = Invert</t>
  </si>
  <si>
    <t xml:space="preserve">2 = 32 bits</t>
  </si>
  <si>
    <t xml:space="preserve">3 = 64 bits</t>
  </si>
  <si>
    <t xml:space="preserve">Vector add</t>
  </si>
  <si>
    <t xml:space="preserve">Vector subtract</t>
  </si>
  <si>
    <t xml:space="preserve">Vector compare</t>
  </si>
  <si>
    <t xml:space="preserve">Opcode Operand Type</t>
  </si>
  <si>
    <t xml:space="preserve">Operand Access Type (4 bits)</t>
  </si>
  <si>
    <t xml:space="preserve">Name</t>
  </si>
  <si>
    <t xml:space="preserve">Type</t>
  </si>
  <si>
    <t xml:space="preserve">Register / None</t>
  </si>
  <si>
    <t xml:space="preserve">Constant</t>
  </si>
  <si>
    <t xml:space="preserve">Address Absolute Register</t>
  </si>
  <si>
    <t xml:space="preserve">Address Absolute Indirect</t>
  </si>
  <si>
    <t xml:space="preserve">Address Absolute Register Indirect</t>
  </si>
  <si>
    <t xml:space="preserve">Address Absolute Indirect Register</t>
  </si>
  <si>
    <t xml:space="preserve">Address Offset Register</t>
  </si>
  <si>
    <t xml:space="preserve">Address Offset Indirect</t>
  </si>
  <si>
    <t xml:space="preserve">Address Offset Register Indirect</t>
  </si>
  <si>
    <t xml:space="preserve">Address Offset Indirect Register</t>
  </si>
  <si>
    <t xml:space="preserve">Address Register Register</t>
  </si>
  <si>
    <t xml:space="preserve">Address Register Indirect</t>
  </si>
  <si>
    <t xml:space="preserve">Address Register Register Indirect</t>
  </si>
  <si>
    <t xml:space="preserve">Address Register Indirect Register</t>
  </si>
  <si>
    <t xml:space="preserve">Purpose</t>
  </si>
  <si>
    <t xml:space="preserve">FFFF:</t>
  </si>
  <si>
    <t xml:space="preserve">FFFF</t>
  </si>
  <si>
    <t xml:space="preserve">Top of addressable memory. Top of external memory. Reset vector address high byte (3)</t>
  </si>
  <si>
    <t xml:space="preserve">FFFE</t>
  </si>
  <si>
    <t xml:space="preserve">Reset vector address byte 2</t>
  </si>
  <si>
    <t xml:space="preserve">FFFD</t>
  </si>
  <si>
    <t xml:space="preserve">Reset vector address byte 1</t>
  </si>
  <si>
    <t xml:space="preserve">FFFC</t>
  </si>
  <si>
    <t xml:space="preserve">Reset vector address low byte (0). Low level triggered reset</t>
  </si>
  <si>
    <t xml:space="preserve">FFF8</t>
  </si>
  <si>
    <t xml:space="preserve">EInterrupt0</t>
  </si>
  <si>
    <t xml:space="preserve">Interrupt vector address. Negative edge triggered interrupt, basically NMIB but there are situations in which it can be masked</t>
  </si>
  <si>
    <t xml:space="preserve">FFF4</t>
  </si>
  <si>
    <t xml:space="preserve">EInterrupt1</t>
  </si>
  <si>
    <t xml:space="preserve">…</t>
  </si>
  <si>
    <t xml:space="preserve">FFF0</t>
  </si>
  <si>
    <t xml:space="preserve">EInterrupt2</t>
  </si>
  <si>
    <t xml:space="preserve">FFEC</t>
  </si>
  <si>
    <t xml:space="preserve">EInterrupt3</t>
  </si>
  <si>
    <t xml:space="preserve">FFE8</t>
  </si>
  <si>
    <t xml:space="preserve">L.Interrupt</t>
  </si>
  <si>
    <t xml:space="preserve">Interrupt vector address. Low level triggered interrupt, an equivalent to IRQB</t>
  </si>
  <si>
    <t xml:space="preserve">FFE4</t>
  </si>
  <si>
    <t xml:space="preserve">HInterrupt0</t>
  </si>
  <si>
    <t xml:space="preserve">Hardware triggered interrupt 0.</t>
  </si>
  <si>
    <t xml:space="preserve">FFE0</t>
  </si>
  <si>
    <t xml:space="preserve">HInterrupt1</t>
  </si>
  <si>
    <t xml:space="preserve">FFDC</t>
  </si>
  <si>
    <t xml:space="preserve">HInterrupt2</t>
  </si>
  <si>
    <t xml:space="preserve">FFD8</t>
  </si>
  <si>
    <t xml:space="preserve">Soft Interrupt0</t>
  </si>
  <si>
    <t xml:space="preserve">Software triggered interrupt 0.</t>
  </si>
  <si>
    <t xml:space="preserve">FFD4</t>
  </si>
  <si>
    <t xml:space="preserve">Soft Interrupt1</t>
  </si>
  <si>
    <t xml:space="preserve">Software triggered interrupt 1.</t>
  </si>
  <si>
    <t xml:space="preserve">FFD0</t>
  </si>
  <si>
    <t xml:space="preserve">Soft Interrupt2</t>
  </si>
  <si>
    <t xml:space="preserve">...</t>
  </si>
  <si>
    <t xml:space="preserve">FC00</t>
  </si>
  <si>
    <t xml:space="preserve">Soft Interrupt1014</t>
  </si>
  <si>
    <t xml:space="preserve">Software triggered interrupt 1014.</t>
  </si>
  <si>
    <t xml:space="preserve">0100:</t>
  </si>
  <si>
    <t xml:space="preserve">0000</t>
  </si>
  <si>
    <t xml:space="preserve">Bottom of external memory</t>
  </si>
  <si>
    <t xml:space="preserve">00FF:</t>
  </si>
  <si>
    <t xml:space="preserve">Top of internal memory</t>
  </si>
  <si>
    <t xml:space="preserve">0040:</t>
  </si>
  <si>
    <t xml:space="preserve">User bank map</t>
  </si>
  <si>
    <t xml:space="preserve">Default user bank map.  User bank high byte (1).  Default map for process ID FF, bank FF</t>
  </si>
  <si>
    <t xml:space="preserve">User bank low byte (0)</t>
  </si>
  <si>
    <t xml:space="preserve">High byte. Default map for process ID FF, bank FE</t>
  </si>
  <si>
    <t xml:space="preserve">Low byte. Default map for process ID FF, bank FE</t>
  </si>
  <si>
    <t xml:space="preserve">0020:</t>
  </si>
  <si>
    <t xml:space="preserve">0001</t>
  </si>
  <si>
    <t xml:space="preserve">High byte. Default map for process ID 00, bank 00</t>
  </si>
  <si>
    <t xml:space="preserve">Low byte. Default map for process ID 00, bank 00</t>
  </si>
  <si>
    <t xml:space="preserve">0001:</t>
  </si>
  <si>
    <t xml:space="preserve">Default stack pointer (S).  Stack address high byte (3)</t>
  </si>
  <si>
    <t xml:space="preserve">Stack address byte 2</t>
  </si>
  <si>
    <t xml:space="preserve">Stack address byte 1</t>
  </si>
  <si>
    <t xml:space="preserve">Stack address low byte (0)</t>
  </si>
  <si>
    <t xml:space="preserve">0000:</t>
  </si>
  <si>
    <t xml:space="preserve">Bottom of internal memory</t>
  </si>
  <si>
    <t xml:space="preserve">Register Index</t>
  </si>
  <si>
    <t xml:space="preserve">Register Width</t>
  </si>
  <si>
    <t xml:space="preserve">Get / Set interrupt count depth (&gt; 0 is kernel mode)</t>
  </si>
  <si>
    <t xml:space="preserve">none</t>
  </si>
  <si>
    <t xml:space="preserve">Reset instruction count</t>
  </si>
  <si>
    <t xml:space="preserve">Get instruction count low (latches count)</t>
  </si>
  <si>
    <t xml:space="preserve">Get instruction count high</t>
  </si>
  <si>
    <t xml:space="preserve">Rest clock tick count</t>
  </si>
  <si>
    <t xml:space="preserve">Get clock tick count low (latches count)</t>
  </si>
  <si>
    <t xml:space="preserve">Get clock tick count high</t>
  </si>
  <si>
    <t xml:space="preserve">bool</t>
  </si>
  <si>
    <t xml:space="preserve">Get / Set Internal SRAM enable</t>
  </si>
  <si>
    <t xml:space="preserve">8bit</t>
  </si>
  <si>
    <t xml:space="preserve">Get / Set clock multiplier for internal operations</t>
  </si>
  <si>
    <t xml:space="preserve">Get / Clear NMI waiting</t>
  </si>
  <si>
    <t xml:space="preserve">Get / Set Watchdog timer enable</t>
  </si>
  <si>
    <t xml:space="preserve">Get / Set watchdog clock rate selector</t>
  </si>
  <si>
    <t xml:space="preserve">Set CPLD transient fuse</t>
  </si>
  <si>
    <t xml:space="preserve">Reset all CPLD transient fuses</t>
  </si>
  <si>
    <t xml:space="preserve">Get / Set GPIO enable</t>
  </si>
  <si>
    <t xml:space="preserve">Get GPIO pin values</t>
  </si>
  <si>
    <t xml:space="preserve">Get / Set Initial flag (include high on invalid address)</t>
  </si>
  <si>
    <t xml:space="preserve">Get / Set User flag</t>
  </si>
  <si>
    <t xml:space="preserve">Get / Set Interrupt vector offset</t>
  </si>
  <si>
    <t xml:space="preserve">Get / Set Enabled User Mode Bank remapping</t>
  </si>
  <si>
    <t xml:space="preserve">Get / Set User Mode Bank width (256 is 16MB, 512 is 32MB etc…)</t>
  </si>
  <si>
    <t xml:space="preserve">Get / Set memory bank remapping offset</t>
  </si>
  <si>
    <t xml:space="preserve">Get / Set User process ID</t>
  </si>
  <si>
    <t xml:space="preserve">Get / Set CPLD bits</t>
  </si>
  <si>
    <t xml:space="preserve">Lookup = (Process ID * Bank Width + Bank) * 2</t>
  </si>
  <si>
    <t xml:space="preserve">Initial Address on address bus: 02:6FE7 remaps to 05:65E7</t>
  </si>
  <si>
    <t xml:space="preserve">Example: </t>
  </si>
  <si>
    <t xml:space="preserve">Process ID [1], Bank Width [1024], Bank [2] = (1 * 1024 + 2) * 2 = 1026 * 2 = 2052</t>
  </si>
  <si>
    <t xml:space="preserve">16 bit Value in address 2025 → 5</t>
  </si>
  <si>
    <t xml:space="preserve">Bank Width</t>
  </si>
  <si>
    <t xml:space="preserve">bits</t>
  </si>
  <si>
    <t xml:space="preserve">possible values</t>
  </si>
  <si>
    <t xml:space="preserve">Bank</t>
  </si>
  <si>
    <t xml:space="preserve">:23A6</t>
  </si>
  <si>
    <t xml:space="preserve">Process ID </t>
  </si>
  <si>
    <t xml:space="preserve">Remap:</t>
  </si>
  <si>
    <t xml:space="preserve">Remapped Address:</t>
  </si>
  <si>
    <t xml:space="preserve">C4</t>
  </si>
  <si>
    <t xml:space="preserve">Bank →</t>
  </si>
  <si>
    <t xml:space="preserve">Process ID</t>
  </si>
  <si>
    <t xml:space="preserve">Memory Address</t>
  </si>
  <si>
    <t xml:space="preserve">Instruction Width</t>
  </si>
  <si>
    <t xml:space="preserve">Left Operand Access</t>
  </si>
  <si>
    <t xml:space="preserve">Right Operand Access</t>
  </si>
  <si>
    <t xml:space="preserve">Cycles</t>
  </si>
  <si>
    <t xml:space="preserve">Comment</t>
  </si>
  <si>
    <t xml:space="preserve">X is the source address; Y is the destination address; W is the number bytes to copy (a multiple of 8)</t>
  </si>
  <si>
    <t xml:space="preserve">All the adding and subtracting of 8s is to ensure the Z flag gets tested correctly in the loop</t>
  </si>
  <si>
    <t xml:space="preserve">Setup:</t>
  </si>
  <si>
    <t xml:space="preserve">wtth (X, Y), 4</t>
  </si>
  <si>
    <t xml:space="preserve">Multi Register</t>
  </si>
  <si>
    <t xml:space="preserve">Embedded 4</t>
  </si>
  <si>
    <t xml:space="preserve">Set X, Y register width to 4 bytes.  The brackets are grouping for readabilty.</t>
  </si>
  <si>
    <t xml:space="preserve">wth W, 4</t>
  </si>
  <si>
    <t xml:space="preserve">Set B width to 4 bytes</t>
  </si>
  <si>
    <t xml:space="preserve">wth B, 8</t>
  </si>
  <si>
    <t xml:space="preserve">Embedded 8</t>
  </si>
  <si>
    <t xml:space="preserve">Set B width to 8 bytes</t>
  </si>
  <si>
    <t xml:space="preserve">pul (W, X, Y), S</t>
  </si>
  <si>
    <t xml:space="preserve">1+3 (1+6)</t>
  </si>
  <si>
    <t xml:space="preserve">Pull using stack S into registers in order Y, X, W. 4 cycles in internal memory, 8 cycles in external memory, </t>
  </si>
  <si>
    <t xml:space="preserve">Loop:</t>
  </si>
  <si>
    <t xml:space="preserve">cpy B, X+W</t>
  </si>
  <si>
    <t xml:space="preserve">2</t>
  </si>
  <si>
    <t xml:space="preserve">3 (2+4)</t>
  </si>
  <si>
    <t xml:space="preserve">Copy into B the value in address X+Y</t>
  </si>
  <si>
    <t xml:space="preserve">cpy Y+W, B</t>
  </si>
  <si>
    <t xml:space="preserve">Copy into address Y+W the value in B</t>
  </si>
  <si>
    <t xml:space="preserve">sub W, 8</t>
  </si>
  <si>
    <t xml:space="preserve">Decrement W by 8</t>
  </si>
  <si>
    <t xml:space="preserve">brac n, -8</t>
  </si>
  <si>
    <t xml:space="preserve">Embedded -8</t>
  </si>
  <si>
    <t xml:space="preserve">Branch back to Loop: if zero flag (z) is not set.</t>
  </si>
  <si>
    <t xml:space="preserve">Done:</t>
  </si>
  <si>
    <t xml:space="preserve">Copies 8 bytes in 8 cycles internally and 14 cycles externally. 1.00 cycles per byte internal; 1.75 cycles per byte external or 1.38 cycles per byte external to internal</t>
  </si>
  <si>
    <t xml:space="preserve">W is the source address; V is the destination address; A is the number of iterations.</t>
  </si>
  <si>
    <t xml:space="preserve">wth A, 4</t>
  </si>
  <si>
    <t xml:space="preserve">pul (A, X, Y), S</t>
  </si>
  <si>
    <t xml:space="preserve">1+1+1+1 (2+2+2+2)</t>
  </si>
  <si>
    <t xml:space="preserve">vcpy W, V, +1, A, 64</t>
  </si>
  <si>
    <t xml:space="preserve">VWA</t>
  </si>
  <si>
    <t xml:space="preserve">Copy the 64 bit value in address W into address V.  Increment W by 8.  Increment V by the 8.  Decrement A by 1.  n is set when A is negative.</t>
  </si>
  <si>
    <t xml:space="preserve">Copies 8 bytes in 3 cycles internally and 6 cycles externally. 0.5 cycles per byte internal; 0.88 cycles per byte external or 0.63 cycles per byte external to internal</t>
  </si>
  <si>
    <t xml:space="preserve">Assume A is 32 but</t>
  </si>
  <si>
    <t xml:space="preserve">cpy A, [regPC:16]</t>
  </si>
  <si>
    <t xml:space="preserve">Load A with 32 bit value in 16 bit address regPC.</t>
  </si>
  <si>
    <t xml:space="preserve">shl A, 1</t>
  </si>
  <si>
    <t xml:space="preserve">Embedded 1</t>
  </si>
  <si>
    <t xml:space="preserve">1 (2)</t>
  </si>
  <si>
    <t xml:space="preserve">Multiply A by 2 (shift left).</t>
  </si>
  <si>
    <t xml:space="preserve">add [regPC:16], 1</t>
  </si>
  <si>
    <t xml:space="preserve">Increment regPC by one</t>
  </si>
  <si>
    <t xml:space="preserve">jmp A</t>
  </si>
  <si>
    <t xml:space="preserve">Jump to address in register A.</t>
  </si>
  <si>
    <t xml:space="preserve">9 cycles in external memory</t>
  </si>
  <si>
    <t xml:space="preserve">A is the register to be shifted, X is the number of bits to shift.</t>
  </si>
  <si>
    <t xml:space="preserve">shr A, X</t>
  </si>
  <si>
    <t xml:space="preserve">Set n if A is negative.  Shift A right by X bits.  (n is set before A is shifted)</t>
  </si>
  <si>
    <t xml:space="preserve">gwth Y, (A, -1)</t>
  </si>
  <si>
    <t xml:space="preserve">Copy the highest bit index of A (a) into Y.</t>
  </si>
  <si>
    <t xml:space="preserve">stab (A, Y, X, -1), n</t>
  </si>
  <si>
    <t xml:space="preserve">Copy n into A at bit index Y for X bits decrementing Y.  3 cycles if less than 32 bits are repeated, 4 cycles if 32 or more bits.</t>
  </si>
  <si>
    <t xml:space="preserve">Multiplier</t>
  </si>
  <si>
    <t xml:space="preserve">Expression</t>
  </si>
  <si>
    <t xml:space="preserve">Operand Computation</t>
  </si>
  <si>
    <t xml:space="preserve">Operand Selection</t>
  </si>
  <si>
    <t xml:space="preserve">Cyle</t>
  </si>
  <si>
    <t xml:space="preserve">Multiplicand</t>
  </si>
  <si>
    <t xml:space="preserve">Result</t>
  </si>
  <si>
    <t xml:space="preserve">Internal</t>
  </si>
  <si>
    <r>
      <rPr>
        <b val="true"/>
        <sz val="10"/>
        <rFont val="Arial"/>
        <family val="2"/>
      </rPr>
      <t xml:space="preserve">D</t>
    </r>
    <r>
      <rPr>
        <b val="true"/>
        <vertAlign val="subscript"/>
        <sz val="10"/>
        <rFont val="Arial"/>
        <family val="2"/>
      </rPr>
      <t xml:space="preserve">0</t>
    </r>
  </si>
  <si>
    <r>
      <rPr>
        <b val="true"/>
        <sz val="10"/>
        <rFont val="Arial"/>
        <family val="2"/>
      </rPr>
      <t xml:space="preserve">D</t>
    </r>
    <r>
      <rPr>
        <b val="true"/>
        <vertAlign val="subscript"/>
        <sz val="10"/>
        <rFont val="Arial"/>
        <family val="2"/>
      </rPr>
      <t xml:space="preserve">1</t>
    </r>
  </si>
  <si>
    <t xml:space="preserve">A &lt;&lt; 1</t>
  </si>
  <si>
    <t xml:space="preserve">A &lt;&lt; 2</t>
  </si>
  <si>
    <t xml:space="preserve">A &lt;&lt; 3</t>
  </si>
  <si>
    <t xml:space="preserve">A &lt;&lt; 4</t>
  </si>
  <si>
    <t xml:space="preserve">-A</t>
  </si>
  <si>
    <t xml:space="preserve">-(A &lt;&lt; 1)</t>
  </si>
  <si>
    <t xml:space="preserve">(A &lt;&lt; 1)+A</t>
  </si>
  <si>
    <t xml:space="preserve">(A &lt;&lt; 2)+A</t>
  </si>
  <si>
    <t xml:space="preserve">Selection</t>
  </si>
  <si>
    <t xml:space="preserve">Sum</t>
  </si>
  <si>
    <r>
      <rPr>
        <b val="true"/>
        <sz val="10"/>
        <rFont val="Arial"/>
        <family val="2"/>
      </rPr>
      <t xml:space="preserve">Y:n[W] + D</t>
    </r>
    <r>
      <rPr>
        <b val="true"/>
        <vertAlign val="subscript"/>
        <sz val="10"/>
        <rFont val="Arial"/>
        <family val="2"/>
      </rPr>
      <t xml:space="preserve">1</t>
    </r>
  </si>
  <si>
    <t xml:space="preserve">W == (b * 2)</t>
  </si>
  <si>
    <t xml:space="preserve">Complete</t>
  </si>
  <si>
    <t xml:space="preserve">×0</t>
  </si>
  <si>
    <t xml:space="preserve">$0</t>
  </si>
  <si>
    <t xml:space="preserve">o0 = </t>
  </si>
  <si>
    <t xml:space="preserve">0 + 0</t>
  </si>
  <si>
    <t xml:space="preserve">oC</t>
  </si>
  <si>
    <t xml:space="preserve">oD</t>
  </si>
  <si>
    <t xml:space="preserve">oE</t>
  </si>
  <si>
    <t xml:space="preserve">oF</t>
  </si>
  <si>
    <t xml:space="preserve">oG</t>
  </si>
  <si>
    <t xml:space="preserve">oH</t>
  </si>
  <si>
    <t xml:space="preserve">oI</t>
  </si>
  <si>
    <t xml:space="preserve">oJ</t>
  </si>
  <si>
    <t xml:space="preserve">×1</t>
  </si>
  <si>
    <t xml:space="preserve">$1</t>
  </si>
  <si>
    <t xml:space="preserve">oA = </t>
  </si>
  <si>
    <t xml:space="preserve">A + 0</t>
  </si>
  <si>
    <t xml:space="preserve">Set A and B to 16 bit width (4 nybbles)</t>
  </si>
  <si>
    <t xml:space="preserve">wtth (A, B), 16</t>
  </si>
  <si>
    <t xml:space="preserve">×2</t>
  </si>
  <si>
    <t xml:space="preserve">$2</t>
  </si>
  <si>
    <t xml:space="preserve">oC = </t>
  </si>
  <si>
    <t xml:space="preserve">C + 0</t>
  </si>
  <si>
    <t xml:space="preserve">Set Y to 32 bit width</t>
  </si>
  <si>
    <t xml:space="preserve">wth Y, 32</t>
  </si>
  <si>
    <t xml:space="preserve">×3</t>
  </si>
  <si>
    <t xml:space="preserve">$3</t>
  </si>
  <si>
    <t xml:space="preserve">(A &lt;&lt; 1) + A</t>
  </si>
  <si>
    <t xml:space="preserve">oD = </t>
  </si>
  <si>
    <t xml:space="preserve">C + A</t>
  </si>
  <si>
    <t xml:space="preserve">Pull A and B from the stack</t>
  </si>
  <si>
    <t xml:space="preserve">pul A, B</t>
  </si>
  <si>
    <t xml:space="preserve">all</t>
  </si>
  <si>
    <t xml:space="preserve">$6A8</t>
  </si>
  <si>
    <t xml:space="preserve">$7C</t>
  </si>
  <si>
    <t xml:space="preserve">×4</t>
  </si>
  <si>
    <t xml:space="preserve">$4</t>
  </si>
  <si>
    <t xml:space="preserve">oE = </t>
  </si>
  <si>
    <t xml:space="preserve">D + 0</t>
  </si>
  <si>
    <t xml:space="preserve">Zero W</t>
  </si>
  <si>
    <t xml:space="preserve">cpy w, 0</t>
  </si>
  <si>
    <t xml:space="preserve">×5</t>
  </si>
  <si>
    <t xml:space="preserve">$5</t>
  </si>
  <si>
    <t xml:space="preserve">(A &lt;&lt; 2) + A</t>
  </si>
  <si>
    <t xml:space="preserve">oF = </t>
  </si>
  <si>
    <t xml:space="preserve">D + A</t>
  </si>
  <si>
    <t xml:space="preserve">Multiply cycle 0 (initialisation)</t>
  </si>
  <si>
    <t xml:space="preserve">mul A, B, W, Y</t>
  </si>
  <si>
    <t xml:space="preserve">B:n[W] →</t>
  </si>
  <si>
    <t xml:space="preserve">×6</t>
  </si>
  <si>
    <t xml:space="preserve">$6</t>
  </si>
  <si>
    <t xml:space="preserve">(A &lt;&lt; 2) + (A &lt;&lt; 1)</t>
  </si>
  <si>
    <t xml:space="preserve">oG = </t>
  </si>
  <si>
    <t xml:space="preserve">D + C</t>
  </si>
  <si>
    <t xml:space="preserve">Multiply cycle 1 (selection and summation)</t>
  </si>
  <si>
    <t xml:space="preserve">4FE0</t>
  </si>
  <si>
    <t xml:space="preserve">$C</t>
  </si>
  <si>
    <t xml:space="preserve">D50</t>
  </si>
  <si>
    <t xml:space="preserve">1AA0</t>
  </si>
  <si>
    <t xml:space="preserve">F958</t>
  </si>
  <si>
    <t xml:space="preserve">F2B0</t>
  </si>
  <si>
    <t xml:space="preserve">13F8</t>
  </si>
  <si>
    <t xml:space="preserve">3540 + 1AA0</t>
  </si>
  <si>
    <t xml:space="preserve">×7</t>
  </si>
  <si>
    <t xml:space="preserve">$7</t>
  </si>
  <si>
    <t xml:space="preserve">(A &lt;&lt; 3) - A</t>
  </si>
  <si>
    <t xml:space="preserve">oH = </t>
  </si>
  <si>
    <t xml:space="preserve">E + G</t>
  </si>
  <si>
    <t xml:space="preserve">Multiply cycle 0</t>
  </si>
  <si>
    <t xml:space="preserve">×8</t>
  </si>
  <si>
    <t xml:space="preserve">$8</t>
  </si>
  <si>
    <t xml:space="preserve">oI = </t>
  </si>
  <si>
    <t xml:space="preserve">E + 0</t>
  </si>
  <si>
    <t xml:space="preserve">Multiply cycle 1</t>
  </si>
  <si>
    <t xml:space="preserve">33960</t>
  </si>
  <si>
    <t xml:space="preserve">3540 + F958</t>
  </si>
  <si>
    <t xml:space="preserve">2E98</t>
  </si>
  <si>
    <t xml:space="preserve">×9</t>
  </si>
  <si>
    <t xml:space="preserve">$9</t>
  </si>
  <si>
    <t xml:space="preserve">(A &lt;&lt; 3) + A</t>
  </si>
  <si>
    <t xml:space="preserve">oJ = </t>
  </si>
  <si>
    <t xml:space="preserve">E + A</t>
  </si>
  <si>
    <t xml:space="preserve">×10</t>
  </si>
  <si>
    <t xml:space="preserve">$A</t>
  </si>
  <si>
    <t xml:space="preserve">(A &lt;&lt; 3) + (A &lt;&lt; 1)</t>
  </si>
  <si>
    <t xml:space="preserve">E + C</t>
  </si>
  <si>
    <t xml:space="preserve">×11</t>
  </si>
  <si>
    <t xml:space="preserve">$B</t>
  </si>
  <si>
    <t xml:space="preserve">(A &lt;&lt; 3) + ((A &lt;&lt; 1) + A)</t>
  </si>
  <si>
    <t xml:space="preserve">E + I</t>
  </si>
  <si>
    <t xml:space="preserve">×12</t>
  </si>
  <si>
    <t xml:space="preserve">(A &lt;&lt; 3) + (A &lt;&lt; 2)</t>
  </si>
  <si>
    <t xml:space="preserve">E + D</t>
  </si>
  <si>
    <t xml:space="preserve">×13</t>
  </si>
  <si>
    <t xml:space="preserve">$D</t>
  </si>
  <si>
    <t xml:space="preserve">(A &lt;&lt; 3) + ((A &lt;&lt; 2) + A)</t>
  </si>
  <si>
    <t xml:space="preserve">E + J</t>
  </si>
  <si>
    <t xml:space="preserve">Return from subroutine</t>
  </si>
  <si>
    <t xml:space="preserve">rts</t>
  </si>
  <si>
    <t xml:space="preserve">×14</t>
  </si>
  <si>
    <t xml:space="preserve">$E</t>
  </si>
  <si>
    <t xml:space="preserve">(A &lt;&lt; 4) - (A &lt;&lt; 1)</t>
  </si>
  <si>
    <t xml:space="preserve">F + H</t>
  </si>
  <si>
    <t xml:space="preserve">×15</t>
  </si>
  <si>
    <t xml:space="preserve">$F</t>
  </si>
  <si>
    <t xml:space="preserve">(A &lt;&lt; 4) - A</t>
  </si>
  <si>
    <t xml:space="preserve">F + G</t>
  </si>
  <si>
    <t xml:space="preserve">Dividend</t>
  </si>
  <si>
    <t xml:space="preserve">Divisor</t>
  </si>
  <si>
    <t xml:space="preserve">Quotient</t>
  </si>
  <si>
    <t xml:space="preserve">Remainder</t>
  </si>
  <si>
    <t xml:space="preserve">r2</t>
  </si>
  <si>
    <t xml:space="preserve">hws</t>
  </si>
  <si>
    <t xml:space="preserve">O1:s ⊻ O2:s → O1</t>
  </si>
  <si>
    <t xml:space="preserve">O1:s ∧ O2:s</t>
  </si>
  <si>
    <t xml:space="preserve">O1:s - O2:s → O1</t>
  </si>
  <si>
    <t xml:space="preserve">O1:s - O2:s</t>
  </si>
  <si>
    <t xml:space="preserve">[V] ∧[W]; A-1 → A; V+a → V; W+a → W; {C+i → C}</t>
  </si>
  <si>
    <t xml:space="preserve">[V] ∨[W] → [V]; A-1 → A; V+a → V; W+a → W; {C+i → C}</t>
  </si>
  <si>
    <t xml:space="preserve">[V] ⊻[W] → [V]; A-1 → A; V+a → V; W+a → W; {C+i → C}</t>
  </si>
  <si>
    <t xml:space="preserve">[V] + [W] → [V]; A-1 → A; V+a → V; W+a → W; {C+i → C}</t>
  </si>
  <si>
    <t xml:space="preserve">[V] + [W] → [V]; A-1 → A; V+a → V; W+a → W; {C+i → C}</t>
  </si>
  <si>
    <t xml:space="preserve">[V] - [W] → [V]; A-1 → A; V+a → V; W+a → W; {C+i → C}</t>
  </si>
  <si>
    <t xml:space="preserve">[V] - [W] → [V]; A-1 → A; V+a → V; W+a → W; {C+i → C}</t>
  </si>
  <si>
    <t xml:space="preserve">[V] ∨[W] → [V]; A-1 → A; V+a → V; W+a → W; {C+i → C}</t>
  </si>
  <si>
    <t xml:space="preserve">[V] ⊻[W] → [V]; A-1 → A; V+a → V; W+a → W; {C+i → C}</t>
  </si>
  <si>
    <t xml:space="preserve">R → [V]; A-1 → A; V+r → V; {C+i → C}</t>
  </si>
  <si>
    <t xml:space="preserve">[V] ∧R → [V]; A-1 → A; V+r → V; {C+i → C}</t>
  </si>
  <si>
    <t xml:space="preserve">[V] ∧R; A-1 → A; V+r → V; {C+i → C}</t>
  </si>
  <si>
    <t xml:space="preserve">[V] ∨R → [V]; A-1 → A; V+r → V; {C+i → C}</t>
  </si>
  <si>
    <t xml:space="preserve">[V] ⊻R → [V]; A-1 → A; V+r → V; {C+i → C}</t>
  </si>
  <si>
    <t xml:space="preserve">[V] + R → [V]; A-1 → A; V+r → V; {C+i → C}</t>
  </si>
  <si>
    <t xml:space="preserve">[V] + R → [V]; A-1 → A; V+r → V; {C+i → C}</t>
  </si>
  <si>
    <t xml:space="preserve">[V] - R → [V]; A-1 → A; V+r → V; {C+i → C}</t>
  </si>
  <si>
    <t xml:space="preserve">[V] - R → [V]; A-1 → A; V+r → V; {C+i → C}</t>
  </si>
  <si>
    <t xml:space="preserve">[V] - R; A-1 → A; V+r → V; {C+i → C}</t>
  </si>
  <si>
    <t xml:space="preserve">[V] - R; A-1 → A; V+r → V; {C+i → C}</t>
  </si>
  <si>
    <t xml:space="preserve">[V]; R → [V]; A-1 → A; V+r → V; {C+i → C}</t>
  </si>
  <si>
    <t xml:space="preserve">[V] ∧R → [V]; A-1 → A; V+r → V; {C+i → C}</t>
  </si>
  <si>
    <t xml:space="preserve">[V] ∨R → [V]; A-1 → A; V+r → V; {C+i → C}</t>
  </si>
  <si>
    <t xml:space="preserve">[V] ⊻R → [V]; A-1 → A; V+r → V; {C+i → C}</t>
  </si>
  <si>
    <t xml:space="preserve">1016 = HInterrupt1</t>
  </si>
  <si>
    <t xml:space="preserve">1015 = HInterrupt2</t>
  </si>
  <si>
    <t xml:space="preserve">Y</t>
  </si>
  <si>
    <t xml:space="preserve">X</t>
  </si>
  <si>
    <t xml:space="preserve">6 = Add unsigned</t>
  </si>
  <si>
    <t xml:space="preserve">7 = Add signed</t>
  </si>
  <si>
    <t xml:space="preserve">8 = Subtract unsigned</t>
  </si>
  <si>
    <t xml:space="preserve">9 = Subtract signed</t>
  </si>
  <si>
    <t xml:space="preserve">10 = Compare unsigned</t>
  </si>
  <si>
    <t xml:space="preserve">11 = Compare signed</t>
  </si>
  <si>
    <t xml:space="preserve">6 = Add unsigned</t>
  </si>
  <si>
    <t xml:space="preserve">7 = Add signed</t>
  </si>
  <si>
    <t xml:space="preserve">8 = Subtract unsigned</t>
  </si>
  <si>
    <t xml:space="preserve">9 = Subtract signed</t>
  </si>
  <si>
    <t xml:space="preserve">10 = Compare unsigned</t>
  </si>
  <si>
    <t xml:space="preserve">11 = Compare signed</t>
  </si>
  <si>
    <t xml:space="preserve">B, S, V, W, X or Y</t>
  </si>
  <si>
    <t xml:space="preserve">F000</t>
  </si>
  <si>
    <t xml:space="preserve">Copy into B the value in address X+W</t>
  </si>
  <si>
    <t xml:space="preserve">brac z, -8</t>
  </si>
  <si>
    <t xml:space="preserve">Embedded 4</t>
  </si>
  <si>
    <t xml:space="preserve">pul (A, V, W), S</t>
  </si>
  <si>
    <t xml:space="preserve">Block add</t>
  </si>
  <si>
    <t xml:space="preserve">badd</t>
  </si>
  <si>
    <t xml:space="preserve">Block subtract</t>
  </si>
  <si>
    <t xml:space="preserve">bsub</t>
  </si>
  <si>
    <t xml:space="preserve">Block compare</t>
  </si>
  <si>
    <t xml:space="preserve">bcmp</t>
  </si>
  <si>
    <t xml:space="preserve">Vector add</t>
  </si>
  <si>
    <t xml:space="preserve">vadd</t>
  </si>
  <si>
    <t xml:space="preserve">Vector subtract</t>
  </si>
  <si>
    <t xml:space="preserve">vsub</t>
  </si>
  <si>
    <t xml:space="preserve">Vector compare</t>
  </si>
  <si>
    <t xml:space="preserve">vcmp</t>
  </si>
  <si>
    <t xml:space="preserve">6 = Add</t>
  </si>
  <si>
    <t xml:space="preserve">7 = Unused</t>
  </si>
  <si>
    <t xml:space="preserve">8 = Subtract</t>
  </si>
  <si>
    <t xml:space="preserve">9 = Unused</t>
  </si>
  <si>
    <t xml:space="preserve">10 = Compare</t>
  </si>
  <si>
    <t xml:space="preserve">11 = Unused</t>
  </si>
  <si>
    <t xml:space="preserve">6 = Add</t>
  </si>
  <si>
    <t xml:space="preserve">7 = Unused</t>
  </si>
  <si>
    <t xml:space="preserve">8 = Subtract</t>
  </si>
  <si>
    <t xml:space="preserve">9 = Unused</t>
  </si>
  <si>
    <t xml:space="preserve">10 = Compare</t>
  </si>
  <si>
    <t xml:space="preserve">11 = Unused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</si>
</sst>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[hh]:mm:ss"/>
    <numFmt numFmtId="167" formatCode="#,###.0"/>
    <numFmt numFmtId="168" formatCode="#,###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vertAlign val="subscript"/>
      <sz val="10"/>
      <name val="Arial"/>
      <family val="2"/>
    </font>
    <font>
      <vertAlign val="subscript"/>
      <sz val="10"/>
      <name val="Arial"/>
      <family val="2"/>
    </font>
    <font>
      <b val="true"/>
      <sz val="18"/>
      <name val="Arial"/>
      <family val="2"/>
    </font>
    <font>
      <sz val="16"/>
      <name val="Arial"/>
      <family val="2"/>
    </font>
    <font>
      <sz val="8"/>
      <color rgb="FF666666"/>
      <name val="Arial"/>
      <family val="2"/>
    </font>
    <font>
      <b val="true"/>
      <sz val="10"/>
      <color rgb="FF808080"/>
      <name val="Arial"/>
      <family val="2"/>
    </font>
    <font>
      <sz val="10"/>
      <color rgb="FF808080"/>
      <name val="Arial"/>
      <family val="2"/>
    </font>
    <font>
      <sz val="10"/>
      <name val="Liberation Sans;Arial"/>
      <family val="2"/>
    </font>
    <font>
      <sz val="10"/>
      <color rgb="FF666666"/>
      <name val="Arial"/>
      <family val="2"/>
    </font>
    <font>
      <sz val="10"/>
      <color rgb="FF000000"/>
      <name val="Arial"/>
      <family val="2"/>
    </font>
    <font>
      <sz val="10"/>
      <name val="Courier New"/>
      <family val="3"/>
    </font>
    <font>
      <b val="true"/>
      <sz val="10"/>
      <name val="Courier New"/>
      <family val="3"/>
    </font>
    <font>
      <sz val="10"/>
      <color rgb="FF666666"/>
      <name val="Courier New"/>
      <family val="3"/>
    </font>
    <font>
      <sz val="10"/>
      <color rgb="FFCCCCCC"/>
      <name val="Courier New"/>
      <family val="3"/>
    </font>
  </fonts>
  <fills count="24">
    <fill>
      <patternFill patternType="none"/>
    </fill>
    <fill>
      <patternFill patternType="gray125"/>
    </fill>
    <fill>
      <patternFill patternType="solid">
        <fgColor rgb="FFFFFFA6"/>
        <bgColor rgb="FFE8F2A1"/>
      </patternFill>
    </fill>
    <fill>
      <patternFill patternType="solid">
        <fgColor rgb="FFAFD095"/>
        <bgColor rgb="FFB3CAC7"/>
      </patternFill>
    </fill>
    <fill>
      <patternFill patternType="solid">
        <fgColor rgb="FFEC9BA4"/>
        <bgColor rgb="FFFFA6A6"/>
      </patternFill>
    </fill>
    <fill>
      <patternFill patternType="solid">
        <fgColor rgb="FFB7B3CA"/>
        <bgColor rgb="FFB2B2B2"/>
      </patternFill>
    </fill>
    <fill>
      <patternFill patternType="solid">
        <fgColor rgb="FFFFDBB6"/>
        <bgColor rgb="FFFFD8CE"/>
      </patternFill>
    </fill>
    <fill>
      <patternFill patternType="solid">
        <fgColor rgb="FFCCCCCC"/>
        <bgColor rgb="FFB3CAC7"/>
      </patternFill>
    </fill>
    <fill>
      <patternFill patternType="solid">
        <fgColor rgb="FFFFA6A6"/>
        <bgColor rgb="FFEC9BA4"/>
      </patternFill>
    </fill>
    <fill>
      <patternFill patternType="solid">
        <fgColor rgb="FFB4C7DC"/>
        <bgColor rgb="FFB3CAC7"/>
      </patternFill>
    </fill>
    <fill>
      <patternFill patternType="solid">
        <fgColor rgb="FFFFFF00"/>
        <bgColor rgb="FFFFDE59"/>
      </patternFill>
    </fill>
    <fill>
      <patternFill patternType="solid">
        <fgColor rgb="FF81D41A"/>
        <bgColor rgb="FFAFD095"/>
      </patternFill>
    </fill>
    <fill>
      <patternFill patternType="solid">
        <fgColor rgb="FFB3CAC7"/>
        <bgColor rgb="FFB4C7DC"/>
      </patternFill>
    </fill>
    <fill>
      <patternFill patternType="solid">
        <fgColor rgb="FF729FCF"/>
        <bgColor rgb="FF8FBEF1"/>
      </patternFill>
    </fill>
    <fill>
      <patternFill patternType="solid">
        <fgColor rgb="FFF7D1D5"/>
        <bgColor rgb="FFFFD8CE"/>
      </patternFill>
    </fill>
    <fill>
      <patternFill patternType="solid">
        <fgColor rgb="FFFFDE59"/>
        <bgColor rgb="FFFFDBB6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7B3CA"/>
      </patternFill>
    </fill>
    <fill>
      <patternFill patternType="solid">
        <fgColor rgb="FFEEEEEE"/>
        <bgColor rgb="FFF2F2F2"/>
      </patternFill>
    </fill>
    <fill>
      <patternFill patternType="solid">
        <fgColor rgb="FFFFFFD7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FFD8CE"/>
        <bgColor rgb="FFF7D1D5"/>
      </patternFill>
    </fill>
    <fill>
      <patternFill patternType="solid">
        <fgColor rgb="FF8FBEF1"/>
        <bgColor rgb="FFB4C7DC"/>
      </patternFill>
    </fill>
    <fill>
      <patternFill patternType="solid">
        <fgColor rgb="FFE8F2A1"/>
        <bgColor rgb="FFFFFFA6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ashed"/>
      <right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 style="dotted"/>
      <top/>
      <bottom/>
      <diagonal/>
    </border>
    <border diagonalUp="false" diagonalDown="false">
      <left/>
      <right style="dotted"/>
      <top/>
      <bottom style="dotted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0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2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D7"/>
      <rgbColor rgb="FFEEEEEE"/>
      <rgbColor rgb="FF660066"/>
      <rgbColor rgb="FFEC9BA4"/>
      <rgbColor rgb="FF0066CC"/>
      <rgbColor rgb="FFCCCCCC"/>
      <rgbColor rgb="FF000080"/>
      <rgbColor rgb="FFFF00FF"/>
      <rgbColor rgb="FFFFD8CE"/>
      <rgbColor rgb="FF00FFFF"/>
      <rgbColor rgb="FF800080"/>
      <rgbColor rgb="FF800000"/>
      <rgbColor rgb="FF008080"/>
      <rgbColor rgb="FF0000FF"/>
      <rgbColor rgb="FF00CCFF"/>
      <rgbColor rgb="FFDDDDDD"/>
      <rgbColor rgb="FFE8F2A1"/>
      <rgbColor rgb="FFFFFFA6"/>
      <rgbColor rgb="FF8FBEF1"/>
      <rgbColor rgb="FFFFA6A6"/>
      <rgbColor rgb="FFB7B3CA"/>
      <rgbColor rgb="FFFFDBB6"/>
      <rgbColor rgb="FF3366FF"/>
      <rgbColor rgb="FFAFD095"/>
      <rgbColor rgb="FF81D41A"/>
      <rgbColor rgb="FFFFDE59"/>
      <rgbColor rgb="FFF7D1D5"/>
      <rgbColor rgb="FFFF6600"/>
      <rgbColor rgb="FF666666"/>
      <rgbColor rgb="FFB2B2B2"/>
      <rgbColor rgb="FF003366"/>
      <rgbColor rgb="FFB4C7D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8"/>
    <col collapsed="false" customWidth="true" hidden="false" outlineLevel="0" max="2" min="2" style="2" width="18.82"/>
    <col collapsed="false" customWidth="true" hidden="false" outlineLevel="0" max="3" min="3" style="2" width="13.53"/>
    <col collapsed="false" customWidth="true" hidden="false" outlineLevel="0" max="4" min="4" style="2" width="14.51"/>
    <col collapsed="false" customWidth="true" hidden="false" outlineLevel="0" max="5" min="5" style="2" width="81.42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2.8" hidden="false" customHeight="false" outlineLevel="0" collapsed="false">
      <c r="A2" s="5" t="n">
        <v>1</v>
      </c>
      <c r="B2" s="6" t="s">
        <v>5</v>
      </c>
      <c r="C2" s="6" t="s">
        <v>6</v>
      </c>
      <c r="D2" s="7" t="s">
        <v>5</v>
      </c>
      <c r="E2" s="8" t="s">
        <v>7</v>
      </c>
    </row>
    <row r="3" customFormat="false" ht="12.8" hidden="false" customHeight="false" outlineLevel="0" collapsed="false">
      <c r="A3" s="5" t="s">
        <v>8</v>
      </c>
      <c r="B3" s="6" t="s">
        <v>9</v>
      </c>
      <c r="C3" s="6" t="s">
        <v>6</v>
      </c>
      <c r="D3" s="9" t="s">
        <v>10</v>
      </c>
      <c r="E3" s="10"/>
    </row>
    <row r="4" customFormat="false" ht="12.8" hidden="false" customHeight="false" outlineLevel="0" collapsed="false">
      <c r="A4" s="11" t="n">
        <v>6</v>
      </c>
      <c r="B4" s="12" t="s">
        <v>11</v>
      </c>
      <c r="C4" s="12" t="s">
        <v>12</v>
      </c>
      <c r="D4" s="13"/>
      <c r="E4" s="14" t="s">
        <v>13</v>
      </c>
    </row>
    <row r="5" customFormat="false" ht="12.8" hidden="false" customHeight="false" outlineLevel="0" collapsed="false">
      <c r="A5" s="5" t="n">
        <v>7</v>
      </c>
      <c r="B5" s="6" t="s">
        <v>14</v>
      </c>
      <c r="C5" s="6" t="s">
        <v>6</v>
      </c>
      <c r="D5" s="7" t="s">
        <v>14</v>
      </c>
      <c r="E5" s="8"/>
    </row>
    <row r="6" customFormat="false" ht="12.8" hidden="false" customHeight="false" outlineLevel="0" collapsed="false">
      <c r="A6" s="5" t="n">
        <v>8</v>
      </c>
      <c r="B6" s="6" t="s">
        <v>15</v>
      </c>
      <c r="C6" s="6" t="s">
        <v>6</v>
      </c>
      <c r="D6" s="9" t="s">
        <v>15</v>
      </c>
      <c r="E6" s="10"/>
    </row>
    <row r="7" customFormat="false" ht="12.8" hidden="false" customHeight="false" outlineLevel="0" collapsed="false">
      <c r="A7" s="11" t="n">
        <v>9</v>
      </c>
      <c r="B7" s="12" t="s">
        <v>16</v>
      </c>
      <c r="C7" s="12" t="s">
        <v>12</v>
      </c>
      <c r="D7" s="13"/>
      <c r="E7" s="14" t="s">
        <v>17</v>
      </c>
    </row>
    <row r="8" customFormat="false" ht="12.8" hidden="false" customHeight="false" outlineLevel="0" collapsed="false">
      <c r="A8" s="5" t="n">
        <v>10</v>
      </c>
      <c r="B8" s="6" t="s">
        <v>18</v>
      </c>
      <c r="C8" s="6" t="s">
        <v>6</v>
      </c>
      <c r="D8" s="7" t="s">
        <v>19</v>
      </c>
      <c r="E8" s="8"/>
    </row>
    <row r="9" customFormat="false" ht="12.8" hidden="false" customHeight="false" outlineLevel="0" collapsed="false">
      <c r="A9" s="5" t="s">
        <v>20</v>
      </c>
      <c r="B9" s="6" t="s">
        <v>19</v>
      </c>
      <c r="C9" s="6" t="s">
        <v>6</v>
      </c>
      <c r="D9" s="15" t="s">
        <v>21</v>
      </c>
      <c r="E9" s="16"/>
    </row>
    <row r="10" customFormat="false" ht="12.8" hidden="false" customHeight="false" outlineLevel="0" collapsed="false">
      <c r="A10" s="5" t="n">
        <v>17</v>
      </c>
      <c r="B10" s="6" t="s">
        <v>11</v>
      </c>
      <c r="C10" s="6" t="s">
        <v>12</v>
      </c>
      <c r="D10" s="15"/>
      <c r="E10" s="16"/>
    </row>
    <row r="11" customFormat="false" ht="12.8" hidden="false" customHeight="false" outlineLevel="0" collapsed="false">
      <c r="A11" s="5" t="n">
        <v>18</v>
      </c>
      <c r="B11" s="6" t="s">
        <v>22</v>
      </c>
      <c r="C11" s="6" t="s">
        <v>6</v>
      </c>
      <c r="D11" s="15" t="s">
        <v>23</v>
      </c>
      <c r="E11" s="16"/>
    </row>
    <row r="12" customFormat="false" ht="12.8" hidden="false" customHeight="false" outlineLevel="0" collapsed="false">
      <c r="A12" s="5" t="n">
        <v>19</v>
      </c>
      <c r="B12" s="6" t="s">
        <v>24</v>
      </c>
      <c r="C12" s="6" t="s">
        <v>6</v>
      </c>
      <c r="D12" s="9" t="s">
        <v>25</v>
      </c>
      <c r="E12" s="10"/>
    </row>
    <row r="13" customFormat="false" ht="12.8" hidden="false" customHeight="false" outlineLevel="0" collapsed="false">
      <c r="A13" s="11" t="n">
        <v>20</v>
      </c>
      <c r="B13" s="12" t="s">
        <v>16</v>
      </c>
      <c r="C13" s="12" t="s">
        <v>12</v>
      </c>
      <c r="D13" s="13"/>
      <c r="E13" s="14"/>
    </row>
    <row r="14" customFormat="false" ht="12.8" hidden="false" customHeight="false" outlineLevel="0" collapsed="false">
      <c r="A14" s="5" t="n">
        <v>21</v>
      </c>
      <c r="B14" s="6" t="s">
        <v>26</v>
      </c>
      <c r="C14" s="6" t="s">
        <v>6</v>
      </c>
      <c r="D14" s="7" t="s">
        <v>27</v>
      </c>
      <c r="E14" s="8"/>
    </row>
    <row r="15" customFormat="false" ht="12.8" hidden="false" customHeight="false" outlineLevel="0" collapsed="false">
      <c r="A15" s="5" t="s">
        <v>28</v>
      </c>
      <c r="B15" s="6" t="s">
        <v>29</v>
      </c>
      <c r="C15" s="6" t="s">
        <v>6</v>
      </c>
      <c r="D15" s="9" t="s">
        <v>30</v>
      </c>
      <c r="E15" s="10"/>
    </row>
    <row r="16" customFormat="false" ht="12.8" hidden="false" customHeight="false" outlineLevel="0" collapsed="false">
      <c r="A16" s="17" t="n">
        <v>31</v>
      </c>
      <c r="B16" s="18" t="s">
        <v>31</v>
      </c>
      <c r="C16" s="18" t="s">
        <v>12</v>
      </c>
      <c r="D16" s="19"/>
      <c r="E16" s="20" t="s">
        <v>32</v>
      </c>
    </row>
    <row r="17" customFormat="false" ht="12.8" hidden="false" customHeight="false" outlineLevel="0" collapsed="false">
      <c r="A17" s="5" t="n">
        <v>32</v>
      </c>
      <c r="B17" s="6" t="s">
        <v>33</v>
      </c>
      <c r="C17" s="6" t="s">
        <v>6</v>
      </c>
      <c r="D17" s="7"/>
      <c r="E17" s="8"/>
    </row>
    <row r="18" customFormat="false" ht="12.8" hidden="false" customHeight="false" outlineLevel="0" collapsed="false">
      <c r="A18" s="5" t="n">
        <v>33</v>
      </c>
      <c r="B18" s="6" t="s">
        <v>34</v>
      </c>
      <c r="C18" s="6" t="s">
        <v>6</v>
      </c>
      <c r="D18" s="9"/>
      <c r="E18" s="10"/>
    </row>
    <row r="19" customFormat="false" ht="12.8" hidden="false" customHeight="false" outlineLevel="0" collapsed="false">
      <c r="A19" s="17" t="n">
        <v>34</v>
      </c>
      <c r="B19" s="18" t="s">
        <v>35</v>
      </c>
      <c r="C19" s="18" t="s">
        <v>12</v>
      </c>
      <c r="D19" s="19"/>
      <c r="E19" s="20"/>
    </row>
    <row r="20" customFormat="false" ht="12.8" hidden="false" customHeight="false" outlineLevel="0" collapsed="false">
      <c r="A20" s="5" t="n">
        <v>35</v>
      </c>
      <c r="B20" s="6" t="s">
        <v>36</v>
      </c>
      <c r="C20" s="6" t="s">
        <v>37</v>
      </c>
      <c r="D20" s="7"/>
      <c r="E20" s="8"/>
    </row>
    <row r="21" customFormat="false" ht="12.8" hidden="false" customHeight="false" outlineLevel="0" collapsed="false">
      <c r="A21" s="5" t="n">
        <v>36</v>
      </c>
      <c r="B21" s="6" t="s">
        <v>38</v>
      </c>
      <c r="C21" s="6" t="s">
        <v>37</v>
      </c>
      <c r="D21" s="9"/>
      <c r="E21" s="10"/>
    </row>
    <row r="22" customFormat="false" ht="12.8" hidden="false" customHeight="false" outlineLevel="0" collapsed="false">
      <c r="A22" s="21" t="n">
        <v>37</v>
      </c>
      <c r="B22" s="22" t="s">
        <v>39</v>
      </c>
      <c r="C22" s="22" t="s">
        <v>37</v>
      </c>
      <c r="D22" s="23"/>
      <c r="E22" s="24" t="s">
        <v>40</v>
      </c>
    </row>
    <row r="23" customFormat="false" ht="12.8" hidden="false" customHeight="false" outlineLevel="0" collapsed="false">
      <c r="A23" s="21" t="s">
        <v>41</v>
      </c>
      <c r="B23" s="22" t="s">
        <v>42</v>
      </c>
      <c r="C23" s="22" t="s">
        <v>37</v>
      </c>
      <c r="D23" s="25"/>
      <c r="E23" s="26"/>
    </row>
    <row r="24" customFormat="false" ht="12.8" hidden="false" customHeight="false" outlineLevel="0" collapsed="false">
      <c r="A24" s="11" t="n">
        <v>46</v>
      </c>
      <c r="B24" s="12" t="s">
        <v>16</v>
      </c>
      <c r="C24" s="12" t="s">
        <v>12</v>
      </c>
      <c r="D24" s="13"/>
      <c r="E24" s="14"/>
    </row>
    <row r="25" customFormat="false" ht="12.8" hidden="false" customHeight="false" outlineLevel="0" collapsed="false">
      <c r="A25" s="21" t="n">
        <v>47</v>
      </c>
      <c r="B25" s="22" t="s">
        <v>43</v>
      </c>
      <c r="C25" s="22" t="s">
        <v>37</v>
      </c>
      <c r="D25" s="23"/>
      <c r="E25" s="24"/>
    </row>
    <row r="26" customFormat="false" ht="12.8" hidden="false" customHeight="false" outlineLevel="0" collapsed="false">
      <c r="A26" s="21" t="n">
        <v>48</v>
      </c>
      <c r="B26" s="22" t="s">
        <v>44</v>
      </c>
      <c r="C26" s="22" t="s">
        <v>37</v>
      </c>
      <c r="D26" s="25"/>
      <c r="E26" s="26"/>
    </row>
    <row r="27" customFormat="false" ht="12.8" hidden="false" customHeight="false" outlineLevel="0" collapsed="false">
      <c r="A27" s="11" t="n">
        <v>49</v>
      </c>
      <c r="B27" s="12" t="s">
        <v>11</v>
      </c>
      <c r="C27" s="12" t="s">
        <v>12</v>
      </c>
      <c r="D27" s="27"/>
      <c r="E27" s="28"/>
    </row>
    <row r="28" customFormat="false" ht="12.8" hidden="false" customHeight="false" outlineLevel="0" collapsed="false">
      <c r="A28" s="21" t="n">
        <v>50</v>
      </c>
      <c r="B28" s="22" t="s">
        <v>45</v>
      </c>
      <c r="C28" s="22" t="s">
        <v>37</v>
      </c>
      <c r="D28" s="23"/>
      <c r="E28" s="24"/>
    </row>
    <row r="29" customFormat="false" ht="12.8" hidden="false" customHeight="false" outlineLevel="0" collapsed="false">
      <c r="A29" s="21" t="s">
        <v>46</v>
      </c>
      <c r="B29" s="22" t="s">
        <v>47</v>
      </c>
      <c r="C29" s="22" t="s">
        <v>37</v>
      </c>
      <c r="D29" s="25"/>
      <c r="E29" s="26"/>
    </row>
    <row r="30" customFormat="false" ht="12.8" hidden="false" customHeight="false" outlineLevel="0" collapsed="false">
      <c r="A30" s="11" t="n">
        <v>53</v>
      </c>
      <c r="B30" s="12" t="s">
        <v>16</v>
      </c>
      <c r="C30" s="12" t="s">
        <v>12</v>
      </c>
      <c r="D30" s="13"/>
      <c r="E30" s="14"/>
    </row>
    <row r="31" customFormat="false" ht="12.8" hidden="false" customHeight="false" outlineLevel="0" collapsed="false">
      <c r="A31" s="21" t="n">
        <v>54</v>
      </c>
      <c r="B31" s="22" t="s">
        <v>48</v>
      </c>
      <c r="C31" s="22" t="s">
        <v>37</v>
      </c>
      <c r="D31" s="23"/>
      <c r="E31" s="24"/>
    </row>
    <row r="32" customFormat="false" ht="12.8" hidden="false" customHeight="false" outlineLevel="0" collapsed="false">
      <c r="A32" s="21" t="n">
        <v>55</v>
      </c>
      <c r="B32" s="22" t="s">
        <v>49</v>
      </c>
      <c r="C32" s="22" t="s">
        <v>37</v>
      </c>
      <c r="D32" s="25"/>
      <c r="E32" s="26"/>
    </row>
    <row r="33" customFormat="false" ht="12.8" hidden="false" customHeight="false" outlineLevel="0" collapsed="false">
      <c r="A33" s="11" t="n">
        <v>56</v>
      </c>
      <c r="B33" s="12" t="s">
        <v>11</v>
      </c>
      <c r="C33" s="12" t="s">
        <v>12</v>
      </c>
      <c r="D33" s="13"/>
      <c r="E33" s="14"/>
    </row>
    <row r="34" customFormat="false" ht="12.8" hidden="false" customHeight="false" outlineLevel="0" collapsed="false">
      <c r="A34" s="21" t="n">
        <v>57</v>
      </c>
      <c r="B34" s="22" t="s">
        <v>50</v>
      </c>
      <c r="C34" s="22" t="s">
        <v>37</v>
      </c>
      <c r="D34" s="23"/>
      <c r="E34" s="24"/>
    </row>
    <row r="35" customFormat="false" ht="12.8" hidden="false" customHeight="false" outlineLevel="0" collapsed="false">
      <c r="A35" s="21" t="s">
        <v>51</v>
      </c>
      <c r="B35" s="22" t="s">
        <v>52</v>
      </c>
      <c r="C35" s="22" t="s">
        <v>37</v>
      </c>
      <c r="D35" s="25"/>
      <c r="E35" s="26"/>
    </row>
    <row r="36" customFormat="false" ht="12.8" hidden="false" customHeight="false" outlineLevel="0" collapsed="false">
      <c r="A36" s="29" t="n">
        <v>73</v>
      </c>
      <c r="B36" s="30" t="s">
        <v>53</v>
      </c>
      <c r="C36" s="30" t="s">
        <v>54</v>
      </c>
      <c r="E36" s="31" t="s">
        <v>55</v>
      </c>
    </row>
    <row r="37" customFormat="false" ht="12.8" hidden="false" customHeight="false" outlineLevel="0" collapsed="false">
      <c r="A37" s="29" t="n">
        <v>74</v>
      </c>
      <c r="B37" s="30" t="s">
        <v>56</v>
      </c>
      <c r="C37" s="30" t="s">
        <v>54</v>
      </c>
      <c r="E37" s="31" t="s">
        <v>57</v>
      </c>
    </row>
    <row r="38" customFormat="false" ht="12.8" hidden="false" customHeight="false" outlineLevel="0" collapsed="false">
      <c r="A38" s="17" t="n">
        <v>75</v>
      </c>
      <c r="B38" s="18" t="s">
        <v>35</v>
      </c>
      <c r="C38" s="18" t="s">
        <v>12</v>
      </c>
      <c r="D38" s="32"/>
      <c r="E38" s="33" t="s">
        <v>58</v>
      </c>
    </row>
    <row r="39" customFormat="false" ht="12.8" hidden="false" customHeight="false" outlineLevel="0" collapsed="false">
      <c r="A39" s="29" t="n">
        <v>76</v>
      </c>
      <c r="B39" s="30" t="s">
        <v>59</v>
      </c>
      <c r="C39" s="30" t="s">
        <v>60</v>
      </c>
      <c r="D39" s="2" t="s">
        <v>61</v>
      </c>
      <c r="E39" s="31" t="s">
        <v>62</v>
      </c>
    </row>
    <row r="40" customFormat="false" ht="12.8" hidden="false" customHeight="false" outlineLevel="0" collapsed="false">
      <c r="A40" s="29" t="n">
        <v>77</v>
      </c>
      <c r="B40" s="30" t="s">
        <v>63</v>
      </c>
      <c r="C40" s="30" t="s">
        <v>60</v>
      </c>
      <c r="D40" s="2" t="s">
        <v>64</v>
      </c>
      <c r="E40" s="31" t="s">
        <v>65</v>
      </c>
    </row>
    <row r="41" customFormat="false" ht="12.8" hidden="false" customHeight="false" outlineLevel="0" collapsed="false">
      <c r="A41" s="17" t="n">
        <v>78</v>
      </c>
      <c r="B41" s="18" t="s">
        <v>31</v>
      </c>
      <c r="C41" s="18" t="s">
        <v>12</v>
      </c>
      <c r="D41" s="32"/>
      <c r="E41" s="33"/>
    </row>
    <row r="42" customFormat="false" ht="12.8" hidden="false" customHeight="false" outlineLevel="0" collapsed="false">
      <c r="A42" s="11" t="n">
        <v>79</v>
      </c>
      <c r="B42" s="12" t="s">
        <v>11</v>
      </c>
      <c r="C42" s="12" t="s">
        <v>12</v>
      </c>
      <c r="D42" s="13"/>
      <c r="E42" s="14"/>
    </row>
    <row r="43" customFormat="false" ht="12.8" hidden="false" customHeight="false" outlineLevel="0" collapsed="false">
      <c r="A43" s="34" t="n">
        <v>80</v>
      </c>
      <c r="B43" s="35" t="s">
        <v>66</v>
      </c>
      <c r="C43" s="35" t="s">
        <v>54</v>
      </c>
      <c r="D43" s="36"/>
      <c r="E43" s="37" t="s">
        <v>67</v>
      </c>
    </row>
    <row r="44" customFormat="false" ht="12.8" hidden="false" customHeight="false" outlineLevel="0" collapsed="false">
      <c r="A44" s="34" t="n">
        <v>81</v>
      </c>
      <c r="B44" s="35" t="s">
        <v>68</v>
      </c>
      <c r="C44" s="35" t="s">
        <v>54</v>
      </c>
      <c r="D44" s="36"/>
      <c r="E44" s="37"/>
    </row>
    <row r="45" customFormat="false" ht="12.8" hidden="false" customHeight="false" outlineLevel="0" collapsed="false">
      <c r="A45" s="11" t="n">
        <v>82</v>
      </c>
      <c r="B45" s="12" t="s">
        <v>16</v>
      </c>
      <c r="C45" s="12" t="s">
        <v>12</v>
      </c>
      <c r="D45" s="13"/>
      <c r="E45" s="14"/>
    </row>
    <row r="46" customFormat="false" ht="12.8" hidden="false" customHeight="false" outlineLevel="0" collapsed="false">
      <c r="A46" s="34" t="n">
        <v>83</v>
      </c>
      <c r="B46" s="35" t="s">
        <v>69</v>
      </c>
      <c r="C46" s="35" t="s">
        <v>54</v>
      </c>
      <c r="D46" s="38"/>
      <c r="E46" s="39"/>
    </row>
    <row r="47" customFormat="false" ht="12.8" hidden="false" customHeight="false" outlineLevel="0" collapsed="false">
      <c r="A47" s="34" t="n">
        <v>84</v>
      </c>
      <c r="B47" s="35" t="s">
        <v>70</v>
      </c>
      <c r="C47" s="35" t="s">
        <v>54</v>
      </c>
      <c r="D47" s="40" t="s">
        <v>71</v>
      </c>
      <c r="E47" s="41"/>
    </row>
    <row r="48" customFormat="false" ht="12.8" hidden="false" customHeight="false" outlineLevel="0" collapsed="false">
      <c r="A48" s="29" t="n">
        <v>85</v>
      </c>
      <c r="B48" s="30" t="s">
        <v>72</v>
      </c>
      <c r="C48" s="30" t="s">
        <v>54</v>
      </c>
      <c r="D48" s="2" t="s">
        <v>73</v>
      </c>
      <c r="E48" s="31" t="s">
        <v>74</v>
      </c>
    </row>
    <row r="49" customFormat="false" ht="12.8" hidden="false" customHeight="false" outlineLevel="0" collapsed="false">
      <c r="A49" s="29" t="n">
        <v>86</v>
      </c>
      <c r="B49" s="30" t="s">
        <v>75</v>
      </c>
      <c r="C49" s="30" t="s">
        <v>54</v>
      </c>
      <c r="D49" s="2" t="s">
        <v>76</v>
      </c>
      <c r="E49" s="31" t="s">
        <v>77</v>
      </c>
    </row>
    <row r="50" customFormat="false" ht="12.8" hidden="false" customHeight="false" outlineLevel="0" collapsed="false">
      <c r="A50" s="29" t="n">
        <v>87</v>
      </c>
      <c r="B50" s="30" t="s">
        <v>78</v>
      </c>
      <c r="C50" s="30" t="s">
        <v>60</v>
      </c>
      <c r="E50" s="31" t="s">
        <v>79</v>
      </c>
    </row>
    <row r="51" customFormat="false" ht="12.8" hidden="false" customHeight="false" outlineLevel="0" collapsed="false">
      <c r="A51" s="29" t="n">
        <v>88</v>
      </c>
      <c r="B51" s="30" t="s">
        <v>78</v>
      </c>
      <c r="C51" s="30" t="s">
        <v>60</v>
      </c>
      <c r="E51" s="31" t="s">
        <v>80</v>
      </c>
    </row>
    <row r="52" customFormat="false" ht="12.8" hidden="false" customHeight="false" outlineLevel="0" collapsed="false">
      <c r="A52" s="11" t="n">
        <v>89</v>
      </c>
      <c r="B52" s="12" t="s">
        <v>11</v>
      </c>
      <c r="C52" s="12" t="s">
        <v>12</v>
      </c>
      <c r="D52" s="13"/>
      <c r="E52" s="14"/>
    </row>
    <row r="53" customFormat="false" ht="12.8" hidden="false" customHeight="false" outlineLevel="0" collapsed="false">
      <c r="A53" s="29" t="n">
        <v>90</v>
      </c>
      <c r="B53" s="30" t="s">
        <v>81</v>
      </c>
      <c r="C53" s="30" t="s">
        <v>54</v>
      </c>
      <c r="D53" s="2" t="s">
        <v>78</v>
      </c>
      <c r="E53" s="31" t="s">
        <v>82</v>
      </c>
    </row>
    <row r="54" customFormat="false" ht="12.8" hidden="false" customHeight="false" outlineLevel="0" collapsed="false">
      <c r="A54" s="29" t="n">
        <v>91</v>
      </c>
      <c r="B54" s="30" t="s">
        <v>83</v>
      </c>
      <c r="C54" s="30" t="s">
        <v>6</v>
      </c>
      <c r="E54" s="31" t="s">
        <v>84</v>
      </c>
    </row>
    <row r="55" customFormat="false" ht="12.8" hidden="false" customHeight="false" outlineLevel="0" collapsed="false">
      <c r="A55" s="42" t="n">
        <v>92</v>
      </c>
      <c r="B55" s="43" t="s">
        <v>16</v>
      </c>
      <c r="C55" s="43" t="s">
        <v>12</v>
      </c>
      <c r="D55" s="13"/>
      <c r="E55" s="14"/>
    </row>
    <row r="56" customFormat="false" ht="12.8" hidden="false" customHeight="false" outlineLevel="0" collapsed="false">
      <c r="A56" s="29" t="n">
        <v>93</v>
      </c>
      <c r="B56" s="30" t="s">
        <v>85</v>
      </c>
      <c r="C56" s="30" t="s">
        <v>6</v>
      </c>
      <c r="E56" s="31" t="s">
        <v>86</v>
      </c>
    </row>
    <row r="57" customFormat="false" ht="12.8" hidden="false" customHeight="false" outlineLevel="0" collapsed="false">
      <c r="A57" s="29" t="n">
        <v>94</v>
      </c>
      <c r="B57" s="30" t="s">
        <v>87</v>
      </c>
      <c r="C57" s="30" t="s">
        <v>6</v>
      </c>
      <c r="D57" s="2" t="s">
        <v>87</v>
      </c>
      <c r="E57" s="31" t="s">
        <v>88</v>
      </c>
    </row>
    <row r="58" customFormat="false" ht="12.8" hidden="false" customHeight="false" outlineLevel="0" collapsed="false">
      <c r="A58" s="29" t="n">
        <v>95</v>
      </c>
      <c r="B58" s="30" t="s">
        <v>89</v>
      </c>
      <c r="C58" s="30" t="s">
        <v>60</v>
      </c>
      <c r="E58" s="31" t="s">
        <v>90</v>
      </c>
    </row>
    <row r="59" customFormat="false" ht="12.8" hidden="false" customHeight="false" outlineLevel="0" collapsed="false">
      <c r="A59" s="29" t="n">
        <v>96</v>
      </c>
      <c r="B59" s="30" t="s">
        <v>91</v>
      </c>
      <c r="C59" s="30" t="s">
        <v>60</v>
      </c>
      <c r="E59" s="31" t="s">
        <v>92</v>
      </c>
    </row>
    <row r="60" customFormat="false" ht="12.8" hidden="false" customHeight="false" outlineLevel="0" collapsed="false">
      <c r="A60" s="29" t="n">
        <v>97</v>
      </c>
      <c r="B60" s="30" t="s">
        <v>93</v>
      </c>
      <c r="C60" s="30" t="s">
        <v>60</v>
      </c>
      <c r="E60" s="31" t="s">
        <v>94</v>
      </c>
    </row>
    <row r="61" customFormat="false" ht="12.8" hidden="false" customHeight="false" outlineLevel="0" collapsed="false">
      <c r="A61" s="29" t="n">
        <v>98</v>
      </c>
      <c r="B61" s="30" t="s">
        <v>95</v>
      </c>
      <c r="C61" s="30" t="s">
        <v>60</v>
      </c>
      <c r="D61" s="2" t="s">
        <v>96</v>
      </c>
      <c r="E61" s="31" t="s">
        <v>97</v>
      </c>
    </row>
    <row r="62" customFormat="false" ht="12.8" hidden="false" customHeight="false" outlineLevel="0" collapsed="false">
      <c r="A62" s="29" t="n">
        <v>99</v>
      </c>
      <c r="B62" s="30" t="s">
        <v>98</v>
      </c>
      <c r="C62" s="30" t="s">
        <v>60</v>
      </c>
      <c r="E62" s="31" t="s">
        <v>99</v>
      </c>
    </row>
    <row r="63" customFormat="false" ht="12.8" hidden="false" customHeight="false" outlineLevel="0" collapsed="false">
      <c r="A63" s="29" t="n">
        <v>100</v>
      </c>
      <c r="B63" s="30" t="s">
        <v>100</v>
      </c>
      <c r="C63" s="30" t="s">
        <v>60</v>
      </c>
      <c r="D63" s="2" t="s">
        <v>101</v>
      </c>
      <c r="E63" s="31" t="s">
        <v>102</v>
      </c>
    </row>
    <row r="64" customFormat="false" ht="12.8" hidden="false" customHeight="false" outlineLevel="0" collapsed="false">
      <c r="A64" s="29" t="n">
        <v>101</v>
      </c>
      <c r="B64" s="30" t="s">
        <v>103</v>
      </c>
      <c r="C64" s="30" t="s">
        <v>60</v>
      </c>
      <c r="E64" s="31" t="s">
        <v>104</v>
      </c>
    </row>
    <row r="65" customFormat="false" ht="12.8" hidden="false" customHeight="false" outlineLevel="0" collapsed="false">
      <c r="A65" s="29" t="n">
        <v>102</v>
      </c>
      <c r="B65" s="30" t="s">
        <v>105</v>
      </c>
      <c r="C65" s="30" t="s">
        <v>60</v>
      </c>
      <c r="E65" s="31" t="s">
        <v>106</v>
      </c>
    </row>
    <row r="66" customFormat="false" ht="12.8" hidden="false" customHeight="false" outlineLevel="0" collapsed="false">
      <c r="A66" s="29" t="n">
        <v>103</v>
      </c>
      <c r="B66" s="30" t="s">
        <v>107</v>
      </c>
      <c r="C66" s="30" t="s">
        <v>60</v>
      </c>
      <c r="E66" s="31" t="s">
        <v>108</v>
      </c>
    </row>
    <row r="67" customFormat="false" ht="12.8" hidden="false" customHeight="false" outlineLevel="0" collapsed="false">
      <c r="A67" s="29" t="n">
        <v>104</v>
      </c>
      <c r="B67" s="30" t="s">
        <v>109</v>
      </c>
      <c r="C67" s="30" t="s">
        <v>54</v>
      </c>
      <c r="D67" s="2" t="s">
        <v>110</v>
      </c>
      <c r="E67" s="31" t="s">
        <v>111</v>
      </c>
    </row>
    <row r="68" customFormat="false" ht="12.8" hidden="false" customHeight="false" outlineLevel="0" collapsed="false">
      <c r="A68" s="29" t="n">
        <v>105</v>
      </c>
      <c r="B68" s="30" t="s">
        <v>112</v>
      </c>
      <c r="C68" s="30" t="s">
        <v>54</v>
      </c>
      <c r="E68" s="31" t="s">
        <v>113</v>
      </c>
    </row>
    <row r="69" customFormat="false" ht="12.8" hidden="false" customHeight="false" outlineLevel="0" collapsed="false">
      <c r="A69" s="29" t="n">
        <v>106</v>
      </c>
      <c r="B69" s="30" t="s">
        <v>114</v>
      </c>
      <c r="C69" s="30" t="s">
        <v>54</v>
      </c>
      <c r="E69" s="31" t="s">
        <v>115</v>
      </c>
    </row>
    <row r="70" customFormat="false" ht="12.8" hidden="false" customHeight="false" outlineLevel="0" collapsed="false">
      <c r="A70" s="29" t="n">
        <v>107</v>
      </c>
      <c r="B70" s="30" t="s">
        <v>116</v>
      </c>
      <c r="C70" s="30" t="s">
        <v>54</v>
      </c>
      <c r="D70" s="2" t="s">
        <v>117</v>
      </c>
      <c r="E70" s="31" t="s">
        <v>118</v>
      </c>
    </row>
    <row r="71" customFormat="false" ht="12.8" hidden="false" customHeight="false" outlineLevel="0" collapsed="false">
      <c r="A71" s="29" t="n">
        <v>108</v>
      </c>
      <c r="B71" s="30" t="s">
        <v>119</v>
      </c>
      <c r="C71" s="30" t="s">
        <v>54</v>
      </c>
      <c r="E71" s="31" t="s">
        <v>120</v>
      </c>
    </row>
    <row r="72" customFormat="false" ht="12.8" hidden="false" customHeight="false" outlineLevel="0" collapsed="false">
      <c r="A72" s="11" t="n">
        <v>116</v>
      </c>
      <c r="B72" s="12" t="s">
        <v>11</v>
      </c>
      <c r="C72" s="12" t="s">
        <v>12</v>
      </c>
      <c r="D72" s="44"/>
      <c r="E72" s="45"/>
    </row>
    <row r="73" customFormat="false" ht="12.8" hidden="false" customHeight="false" outlineLevel="0" collapsed="false">
      <c r="A73" s="11" t="n">
        <v>119</v>
      </c>
      <c r="B73" s="12" t="s">
        <v>16</v>
      </c>
      <c r="C73" s="12" t="s">
        <v>12</v>
      </c>
      <c r="D73" s="46"/>
      <c r="E73" s="47"/>
    </row>
    <row r="74" customFormat="false" ht="12.8" hidden="false" customHeight="false" outlineLevel="0" collapsed="false">
      <c r="A74" s="29" t="n">
        <v>123</v>
      </c>
      <c r="B74" s="30" t="s">
        <v>121</v>
      </c>
      <c r="C74" s="30" t="s">
        <v>6</v>
      </c>
      <c r="E74" s="31" t="s">
        <v>122</v>
      </c>
    </row>
    <row r="75" customFormat="false" ht="12.8" hidden="false" customHeight="false" outlineLevel="0" collapsed="false">
      <c r="A75" s="29" t="n">
        <v>124</v>
      </c>
      <c r="B75" s="30" t="s">
        <v>123</v>
      </c>
      <c r="C75" s="30" t="s">
        <v>6</v>
      </c>
      <c r="E75" s="31" t="s">
        <v>124</v>
      </c>
    </row>
    <row r="76" customFormat="false" ht="12.8" hidden="false" customHeight="false" outlineLevel="0" collapsed="false">
      <c r="A76" s="11" t="n">
        <v>125</v>
      </c>
      <c r="B76" s="12" t="s">
        <v>11</v>
      </c>
      <c r="C76" s="12" t="s">
        <v>12</v>
      </c>
      <c r="D76" s="13"/>
      <c r="E76" s="14"/>
    </row>
    <row r="77" customFormat="false" ht="12.8" hidden="false" customHeight="false" outlineLevel="0" collapsed="false">
      <c r="A77" s="48" t="n">
        <v>126</v>
      </c>
      <c r="B77" s="49" t="s">
        <v>125</v>
      </c>
      <c r="C77" s="49" t="s">
        <v>37</v>
      </c>
      <c r="D77" s="50" t="s">
        <v>125</v>
      </c>
      <c r="E77" s="51" t="s">
        <v>126</v>
      </c>
    </row>
    <row r="78" customFormat="false" ht="12.8" hidden="false" customHeight="false" outlineLevel="0" collapsed="false">
      <c r="A78" s="48" t="n">
        <v>127</v>
      </c>
      <c r="B78" s="49" t="s">
        <v>127</v>
      </c>
      <c r="C78" s="49" t="s">
        <v>37</v>
      </c>
      <c r="D78" s="52" t="s">
        <v>127</v>
      </c>
      <c r="E78" s="53"/>
    </row>
    <row r="79" customFormat="false" ht="12.8" hidden="false" customHeight="false" outlineLevel="0" collapsed="false">
      <c r="A79" s="11" t="n">
        <v>128</v>
      </c>
      <c r="B79" s="12" t="s">
        <v>16</v>
      </c>
      <c r="C79" s="12" t="s">
        <v>12</v>
      </c>
      <c r="D79" s="13"/>
      <c r="E79" s="14"/>
    </row>
    <row r="80" customFormat="false" ht="12.8" hidden="false" customHeight="false" outlineLevel="0" collapsed="false">
      <c r="A80" s="48" t="n">
        <v>129</v>
      </c>
      <c r="B80" s="49" t="s">
        <v>128</v>
      </c>
      <c r="C80" s="49" t="s">
        <v>37</v>
      </c>
      <c r="D80" s="50" t="s">
        <v>128</v>
      </c>
      <c r="E80" s="51"/>
    </row>
    <row r="81" customFormat="false" ht="12.8" hidden="false" customHeight="false" outlineLevel="0" collapsed="false">
      <c r="A81" s="48" t="s">
        <v>129</v>
      </c>
      <c r="B81" s="49" t="s">
        <v>130</v>
      </c>
      <c r="C81" s="49" t="s">
        <v>37</v>
      </c>
      <c r="D81" s="52" t="s">
        <v>131</v>
      </c>
      <c r="E81" s="53"/>
    </row>
    <row r="82" customFormat="false" ht="12.8" hidden="false" customHeight="false" outlineLevel="0" collapsed="false">
      <c r="A82" s="5" t="n">
        <v>143</v>
      </c>
      <c r="B82" s="6" t="s">
        <v>132</v>
      </c>
      <c r="C82" s="6" t="s">
        <v>6</v>
      </c>
      <c r="D82" s="7" t="s">
        <v>132</v>
      </c>
      <c r="E82" s="8"/>
    </row>
    <row r="83" customFormat="false" ht="12.8" hidden="false" customHeight="false" outlineLevel="0" collapsed="false">
      <c r="A83" s="5" t="n">
        <v>144</v>
      </c>
      <c r="B83" s="6" t="s">
        <v>133</v>
      </c>
      <c r="C83" s="6" t="s">
        <v>6</v>
      </c>
      <c r="D83" s="9" t="s">
        <v>133</v>
      </c>
      <c r="E83" s="1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13"/>
    <col collapsed="false" customWidth="true" hidden="false" outlineLevel="0" max="17" min="2" style="0" width="9.87"/>
    <col collapsed="false" customWidth="true" hidden="false" outlineLevel="0" max="19" min="19" style="0" width="82.96"/>
  </cols>
  <sheetData>
    <row r="1" customFormat="false" ht="15.65" hidden="false" customHeight="true" outlineLevel="0" collapsed="false">
      <c r="A1" s="54" t="s">
        <v>134</v>
      </c>
      <c r="B1" s="55" t="s">
        <v>135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  <c r="S1" s="57" t="s">
        <v>136</v>
      </c>
      <c r="T1" s="56"/>
      <c r="U1" s="56"/>
      <c r="V1" s="56"/>
    </row>
    <row r="2" customFormat="false" ht="15.65" hidden="false" customHeight="true" outlineLevel="0" collapsed="false">
      <c r="A2" s="30" t="s">
        <v>137</v>
      </c>
      <c r="B2" s="58" t="s">
        <v>138</v>
      </c>
      <c r="C2" s="58"/>
      <c r="D2" s="58"/>
      <c r="E2" s="58"/>
      <c r="F2" s="58"/>
      <c r="G2" s="58"/>
      <c r="H2" s="58"/>
      <c r="I2" s="58"/>
      <c r="J2" s="59" t="s">
        <v>139</v>
      </c>
      <c r="K2" s="59"/>
      <c r="L2" s="59"/>
      <c r="M2" s="59"/>
      <c r="N2" s="60" t="s">
        <v>140</v>
      </c>
      <c r="O2" s="60"/>
      <c r="P2" s="60" t="s">
        <v>141</v>
      </c>
      <c r="Q2" s="60"/>
      <c r="R2" s="56"/>
      <c r="S2" s="61" t="s">
        <v>142</v>
      </c>
      <c r="T2" s="56"/>
      <c r="U2" s="56"/>
      <c r="V2" s="56"/>
    </row>
    <row r="3" customFormat="false" ht="15.65" hidden="false" customHeight="true" outlineLevel="0" collapsed="false">
      <c r="A3" s="30" t="s">
        <v>137</v>
      </c>
      <c r="B3" s="62" t="s">
        <v>143</v>
      </c>
      <c r="C3" s="62"/>
      <c r="D3" s="62"/>
      <c r="E3" s="62"/>
      <c r="F3" s="62"/>
      <c r="G3" s="62"/>
      <c r="H3" s="62"/>
      <c r="I3" s="62"/>
      <c r="J3" s="63" t="s">
        <v>139</v>
      </c>
      <c r="K3" s="63"/>
      <c r="L3" s="63"/>
      <c r="M3" s="63"/>
      <c r="N3" s="64" t="s">
        <v>140</v>
      </c>
      <c r="O3" s="64"/>
      <c r="P3" s="64" t="s">
        <v>141</v>
      </c>
      <c r="Q3" s="64"/>
      <c r="R3" s="56"/>
      <c r="S3" s="65" t="s">
        <v>144</v>
      </c>
      <c r="T3" s="56"/>
      <c r="U3" s="56"/>
      <c r="V3" s="56"/>
    </row>
    <row r="4" customFormat="false" ht="15.65" hidden="false" customHeight="true" outlineLevel="0" collapsed="false">
      <c r="A4" s="30" t="s">
        <v>145</v>
      </c>
      <c r="B4" s="66"/>
      <c r="C4" s="66"/>
      <c r="D4" s="66"/>
      <c r="E4" s="66"/>
      <c r="F4" s="66"/>
      <c r="G4" s="66"/>
      <c r="H4" s="66"/>
      <c r="I4" s="66"/>
      <c r="J4" s="67" t="s">
        <v>146</v>
      </c>
      <c r="K4" s="67"/>
      <c r="L4" s="67"/>
      <c r="M4" s="67"/>
      <c r="N4" s="67"/>
      <c r="O4" s="67"/>
      <c r="P4" s="67"/>
      <c r="Q4" s="67"/>
      <c r="R4" s="56"/>
      <c r="S4" s="65" t="s">
        <v>147</v>
      </c>
      <c r="T4" s="56"/>
      <c r="U4" s="56"/>
      <c r="V4" s="56"/>
    </row>
    <row r="5" customFormat="false" ht="15.65" hidden="false" customHeight="true" outlineLevel="0" collapsed="false">
      <c r="A5" s="30" t="s">
        <v>145</v>
      </c>
      <c r="B5" s="66"/>
      <c r="C5" s="66"/>
      <c r="D5" s="66"/>
      <c r="E5" s="66"/>
      <c r="F5" s="66"/>
      <c r="G5" s="66"/>
      <c r="H5" s="66"/>
      <c r="I5" s="66"/>
      <c r="J5" s="68" t="s">
        <v>148</v>
      </c>
      <c r="K5" s="68"/>
      <c r="L5" s="68"/>
      <c r="M5" s="68"/>
      <c r="N5" s="68"/>
      <c r="O5" s="68"/>
      <c r="P5" s="68"/>
      <c r="Q5" s="68"/>
      <c r="R5" s="56"/>
      <c r="S5" s="65" t="s">
        <v>149</v>
      </c>
      <c r="T5" s="56"/>
      <c r="U5" s="56"/>
      <c r="V5" s="56"/>
    </row>
    <row r="6" customFormat="false" ht="15.65" hidden="false" customHeight="true" outlineLevel="0" collapsed="false">
      <c r="A6" s="30" t="s">
        <v>150</v>
      </c>
      <c r="B6" s="69" t="s">
        <v>151</v>
      </c>
      <c r="C6" s="69"/>
      <c r="D6" s="69"/>
      <c r="E6" s="69"/>
      <c r="F6" s="69"/>
      <c r="G6" s="69"/>
      <c r="H6" s="69"/>
      <c r="I6" s="69"/>
      <c r="J6" s="70" t="s">
        <v>139</v>
      </c>
      <c r="K6" s="70"/>
      <c r="L6" s="70"/>
      <c r="M6" s="70"/>
      <c r="N6" s="71" t="s">
        <v>140</v>
      </c>
      <c r="O6" s="71"/>
      <c r="P6" s="71" t="s">
        <v>141</v>
      </c>
      <c r="Q6" s="71"/>
      <c r="R6" s="56"/>
      <c r="S6" s="65" t="s">
        <v>152</v>
      </c>
      <c r="T6" s="56"/>
      <c r="U6" s="56"/>
      <c r="V6" s="56"/>
    </row>
    <row r="7" customFormat="false" ht="15.65" hidden="false" customHeight="true" outlineLevel="0" collapsed="false">
      <c r="A7" s="30" t="s">
        <v>150</v>
      </c>
      <c r="B7" s="72" t="s">
        <v>153</v>
      </c>
      <c r="C7" s="72"/>
      <c r="D7" s="72"/>
      <c r="E7" s="72"/>
      <c r="F7" s="72"/>
      <c r="G7" s="72"/>
      <c r="H7" s="72"/>
      <c r="I7" s="72"/>
      <c r="J7" s="73" t="s">
        <v>139</v>
      </c>
      <c r="K7" s="73"/>
      <c r="L7" s="73"/>
      <c r="M7" s="73"/>
      <c r="N7" s="74" t="s">
        <v>140</v>
      </c>
      <c r="O7" s="74"/>
      <c r="P7" s="74" t="s">
        <v>141</v>
      </c>
      <c r="Q7" s="74"/>
      <c r="R7" s="56"/>
      <c r="S7" s="65" t="s">
        <v>154</v>
      </c>
      <c r="T7" s="56"/>
      <c r="U7" s="56"/>
      <c r="V7" s="56"/>
    </row>
    <row r="8" customFormat="false" ht="15.65" hidden="false" customHeight="true" outlineLevel="0" collapsed="false">
      <c r="A8" s="30" t="s">
        <v>155</v>
      </c>
      <c r="B8" s="66"/>
      <c r="C8" s="66"/>
      <c r="D8" s="66"/>
      <c r="E8" s="66"/>
      <c r="F8" s="66"/>
      <c r="G8" s="66"/>
      <c r="H8" s="66"/>
      <c r="I8" s="66"/>
      <c r="J8" s="75" t="s">
        <v>156</v>
      </c>
      <c r="K8" s="75"/>
      <c r="L8" s="75"/>
      <c r="M8" s="75"/>
      <c r="N8" s="75"/>
      <c r="O8" s="75"/>
      <c r="P8" s="75"/>
      <c r="Q8" s="75"/>
      <c r="R8" s="56"/>
      <c r="S8" s="65" t="s">
        <v>157</v>
      </c>
      <c r="T8" s="56"/>
      <c r="U8" s="56"/>
      <c r="V8" s="56"/>
    </row>
    <row r="9" customFormat="false" ht="15.65" hidden="false" customHeight="true" outlineLevel="0" collapsed="false">
      <c r="A9" s="30" t="s">
        <v>158</v>
      </c>
      <c r="B9" s="66"/>
      <c r="C9" s="66"/>
      <c r="D9" s="66"/>
      <c r="E9" s="66"/>
      <c r="F9" s="76" t="s">
        <v>159</v>
      </c>
      <c r="G9" s="76"/>
      <c r="H9" s="76"/>
      <c r="I9" s="76"/>
      <c r="J9" s="77" t="s">
        <v>160</v>
      </c>
      <c r="K9" s="77"/>
      <c r="L9" s="77"/>
      <c r="M9" s="77"/>
      <c r="N9" s="77"/>
      <c r="O9" s="77"/>
      <c r="P9" s="77"/>
      <c r="Q9" s="77"/>
      <c r="R9" s="56"/>
      <c r="S9" s="65" t="s">
        <v>161</v>
      </c>
      <c r="T9" s="56"/>
      <c r="U9" s="56"/>
      <c r="V9" s="56"/>
    </row>
    <row r="10" customFormat="false" ht="15.65" hidden="false" customHeight="true" outlineLevel="0" collapsed="false"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56"/>
      <c r="S10" s="65" t="s">
        <v>162</v>
      </c>
      <c r="T10" s="56"/>
      <c r="U10" s="56"/>
      <c r="V10" s="56"/>
    </row>
    <row r="11" customFormat="false" ht="15.65" hidden="false" customHeight="true" outlineLevel="0" collapsed="false">
      <c r="A11" s="30" t="s">
        <v>163</v>
      </c>
      <c r="B11" s="75" t="s">
        <v>164</v>
      </c>
      <c r="C11" s="75"/>
      <c r="D11" s="75"/>
      <c r="E11" s="75"/>
      <c r="F11" s="75"/>
      <c r="G11" s="75"/>
      <c r="H11" s="75"/>
      <c r="I11" s="75"/>
      <c r="J11" s="78" t="s">
        <v>139</v>
      </c>
      <c r="K11" s="78"/>
      <c r="L11" s="78"/>
      <c r="M11" s="78"/>
      <c r="N11" s="79" t="s">
        <v>140</v>
      </c>
      <c r="O11" s="79"/>
      <c r="P11" s="79" t="s">
        <v>141</v>
      </c>
      <c r="Q11" s="79"/>
      <c r="R11" s="56"/>
      <c r="S11" s="65" t="s">
        <v>165</v>
      </c>
      <c r="T11" s="56"/>
      <c r="U11" s="56"/>
      <c r="V11" s="56"/>
    </row>
    <row r="12" customFormat="false" ht="15.65" hidden="false" customHeight="true" outlineLevel="0" collapsed="false">
      <c r="A12" s="30" t="s">
        <v>163</v>
      </c>
      <c r="B12" s="75" t="s">
        <v>166</v>
      </c>
      <c r="C12" s="75"/>
      <c r="D12" s="75"/>
      <c r="E12" s="75"/>
      <c r="F12" s="75"/>
      <c r="G12" s="75"/>
      <c r="H12" s="75"/>
      <c r="I12" s="75"/>
      <c r="J12" s="78" t="s">
        <v>139</v>
      </c>
      <c r="K12" s="78"/>
      <c r="L12" s="78"/>
      <c r="M12" s="78"/>
      <c r="N12" s="79" t="s">
        <v>140</v>
      </c>
      <c r="O12" s="79"/>
      <c r="P12" s="79" t="s">
        <v>141</v>
      </c>
      <c r="Q12" s="79"/>
      <c r="R12" s="56"/>
      <c r="S12" s="65" t="s">
        <v>167</v>
      </c>
      <c r="T12" s="56"/>
      <c r="U12" s="56"/>
      <c r="V12" s="56"/>
    </row>
    <row r="13" customFormat="false" ht="15.65" hidden="false" customHeight="true" outlineLevel="0" collapsed="false">
      <c r="A13" s="30" t="s">
        <v>163</v>
      </c>
      <c r="B13" s="75" t="s">
        <v>168</v>
      </c>
      <c r="C13" s="75"/>
      <c r="D13" s="75"/>
      <c r="E13" s="75"/>
      <c r="F13" s="75"/>
      <c r="G13" s="75"/>
      <c r="H13" s="75"/>
      <c r="I13" s="75"/>
      <c r="J13" s="78" t="s">
        <v>139</v>
      </c>
      <c r="K13" s="78"/>
      <c r="L13" s="78"/>
      <c r="M13" s="78"/>
      <c r="N13" s="79" t="s">
        <v>140</v>
      </c>
      <c r="O13" s="79"/>
      <c r="P13" s="79" t="s">
        <v>141</v>
      </c>
      <c r="Q13" s="79"/>
      <c r="R13" s="56"/>
      <c r="S13" s="65" t="s">
        <v>169</v>
      </c>
      <c r="T13" s="56"/>
      <c r="U13" s="56"/>
      <c r="V13" s="56"/>
    </row>
    <row r="14" customFormat="false" ht="12.8" hidden="false" customHeight="false" outlineLevel="0" collapsed="false"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56"/>
      <c r="S14" s="65" t="s">
        <v>170</v>
      </c>
      <c r="T14" s="56"/>
      <c r="U14" s="56"/>
      <c r="V14" s="56"/>
    </row>
    <row r="15" customFormat="false" ht="12.8" hidden="false" customHeight="false" outlineLevel="0" collapsed="false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56"/>
      <c r="S15" s="65" t="s">
        <v>171</v>
      </c>
      <c r="T15" s="56"/>
      <c r="U15" s="56"/>
      <c r="V15" s="56"/>
    </row>
    <row r="16" customFormat="false" ht="12.8" hidden="false" customHeight="false" outlineLevel="0" collapsed="false">
      <c r="B16" s="76" t="s">
        <v>172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56"/>
      <c r="S16" s="65" t="s">
        <v>173</v>
      </c>
      <c r="T16" s="56"/>
      <c r="U16" s="56"/>
      <c r="V16" s="56"/>
    </row>
    <row r="17" customFormat="false" ht="12.8" hidden="false" customHeight="false" outlineLevel="0" collapsed="false">
      <c r="B17" s="80" t="n">
        <v>15</v>
      </c>
      <c r="C17" s="80" t="n">
        <f aca="false">B17-1</f>
        <v>14</v>
      </c>
      <c r="D17" s="80" t="n">
        <f aca="false">C17-1</f>
        <v>13</v>
      </c>
      <c r="E17" s="80" t="n">
        <f aca="false">D17-1</f>
        <v>12</v>
      </c>
      <c r="F17" s="80" t="n">
        <f aca="false">E17-1</f>
        <v>11</v>
      </c>
      <c r="G17" s="80" t="n">
        <f aca="false">F17-1</f>
        <v>10</v>
      </c>
      <c r="H17" s="80" t="n">
        <f aca="false">G17-1</f>
        <v>9</v>
      </c>
      <c r="I17" s="80" t="n">
        <f aca="false">H17-1</f>
        <v>8</v>
      </c>
      <c r="J17" s="80" t="n">
        <f aca="false">I17-1</f>
        <v>7</v>
      </c>
      <c r="K17" s="80" t="n">
        <f aca="false">J17-1</f>
        <v>6</v>
      </c>
      <c r="L17" s="80" t="n">
        <f aca="false">K17-1</f>
        <v>5</v>
      </c>
      <c r="M17" s="80" t="n">
        <f aca="false">L17-1</f>
        <v>4</v>
      </c>
      <c r="N17" s="80" t="n">
        <f aca="false">M17-1</f>
        <v>3</v>
      </c>
      <c r="O17" s="80" t="n">
        <f aca="false">N17-1</f>
        <v>2</v>
      </c>
      <c r="P17" s="80" t="n">
        <f aca="false">O17-1</f>
        <v>1</v>
      </c>
      <c r="Q17" s="80" t="n">
        <f aca="false">P17-1</f>
        <v>0</v>
      </c>
      <c r="R17" s="56"/>
      <c r="S17" s="65" t="s">
        <v>174</v>
      </c>
      <c r="T17" s="56"/>
      <c r="U17" s="56"/>
      <c r="V17" s="56"/>
    </row>
    <row r="18" customFormat="false" ht="12.8" hidden="false" customHeight="false" outlineLevel="0" collapsed="false">
      <c r="B18" s="81" t="s">
        <v>175</v>
      </c>
      <c r="C18" s="81"/>
      <c r="D18" s="82" t="s">
        <v>176</v>
      </c>
      <c r="E18" s="82"/>
      <c r="F18" s="83" t="s">
        <v>177</v>
      </c>
      <c r="G18" s="83"/>
      <c r="H18" s="84" t="s">
        <v>178</v>
      </c>
      <c r="I18" s="84"/>
      <c r="J18" s="85" t="s">
        <v>179</v>
      </c>
      <c r="K18" s="85" t="s">
        <v>180</v>
      </c>
      <c r="L18" s="86" t="s">
        <v>181</v>
      </c>
      <c r="M18" s="86" t="s">
        <v>182</v>
      </c>
      <c r="N18" s="86" t="s">
        <v>183</v>
      </c>
      <c r="O18" s="86" t="s">
        <v>184</v>
      </c>
      <c r="P18" s="86" t="s">
        <v>185</v>
      </c>
      <c r="Q18" s="86" t="s">
        <v>186</v>
      </c>
      <c r="R18" s="56"/>
      <c r="S18" s="65" t="s">
        <v>187</v>
      </c>
      <c r="T18" s="56"/>
      <c r="U18" s="56"/>
      <c r="V18" s="56"/>
    </row>
    <row r="19" customFormat="false" ht="12.8" hidden="false" customHeight="false" outlineLevel="0" collapsed="false">
      <c r="B19" s="87" t="s">
        <v>188</v>
      </c>
      <c r="C19" s="87"/>
      <c r="D19" s="88" t="s">
        <v>189</v>
      </c>
      <c r="E19" s="88"/>
      <c r="F19" s="89" t="s">
        <v>190</v>
      </c>
      <c r="G19" s="89"/>
      <c r="H19" s="90" t="s">
        <v>191</v>
      </c>
      <c r="I19" s="90"/>
      <c r="J19" s="91" t="s">
        <v>192</v>
      </c>
      <c r="K19" s="91" t="s">
        <v>193</v>
      </c>
      <c r="L19" s="92" t="s">
        <v>194</v>
      </c>
      <c r="M19" s="92" t="s">
        <v>195</v>
      </c>
      <c r="N19" s="92" t="s">
        <v>196</v>
      </c>
      <c r="O19" s="92" t="s">
        <v>197</v>
      </c>
      <c r="P19" s="92" t="s">
        <v>198</v>
      </c>
      <c r="Q19" s="92" t="s">
        <v>199</v>
      </c>
      <c r="R19" s="56"/>
      <c r="S19" s="65" t="s">
        <v>200</v>
      </c>
      <c r="T19" s="56"/>
      <c r="U19" s="56"/>
      <c r="V19" s="56"/>
    </row>
    <row r="20" customFormat="false" ht="12.8" hidden="false" customHeight="false" outlineLevel="0" collapsed="false">
      <c r="B20" s="57" t="s">
        <v>201</v>
      </c>
      <c r="C20" s="57"/>
      <c r="D20" s="57" t="s">
        <v>201</v>
      </c>
      <c r="E20" s="57"/>
      <c r="F20" s="57" t="s">
        <v>201</v>
      </c>
      <c r="G20" s="57"/>
      <c r="H20" s="57" t="s">
        <v>201</v>
      </c>
      <c r="I20" s="57"/>
      <c r="J20" s="93" t="s">
        <v>202</v>
      </c>
      <c r="K20" s="93" t="s">
        <v>202</v>
      </c>
      <c r="L20" s="93" t="s">
        <v>203</v>
      </c>
      <c r="M20" s="93" t="s">
        <v>203</v>
      </c>
      <c r="N20" s="93" t="s">
        <v>204</v>
      </c>
      <c r="O20" s="93" t="s">
        <v>203</v>
      </c>
      <c r="P20" s="93" t="s">
        <v>205</v>
      </c>
      <c r="Q20" s="93" t="s">
        <v>203</v>
      </c>
      <c r="R20" s="56"/>
      <c r="S20" s="65" t="s">
        <v>206</v>
      </c>
      <c r="T20" s="56"/>
      <c r="U20" s="56"/>
      <c r="V20" s="56"/>
    </row>
    <row r="21" customFormat="false" ht="12.8" hidden="false" customHeight="false" outlineLevel="0" collapsed="false">
      <c r="B21" s="57"/>
      <c r="C21" s="57"/>
      <c r="D21" s="57"/>
      <c r="E21" s="57"/>
      <c r="F21" s="57"/>
      <c r="G21" s="57"/>
      <c r="H21" s="57"/>
      <c r="I21" s="57"/>
      <c r="J21" s="94" t="s">
        <v>207</v>
      </c>
      <c r="K21" s="94" t="s">
        <v>207</v>
      </c>
      <c r="L21" s="94" t="s">
        <v>208</v>
      </c>
      <c r="M21" s="94" t="s">
        <v>208</v>
      </c>
      <c r="N21" s="94" t="s">
        <v>209</v>
      </c>
      <c r="O21" s="94" t="s">
        <v>208</v>
      </c>
      <c r="P21" s="94" t="s">
        <v>210</v>
      </c>
      <c r="Q21" s="94" t="s">
        <v>208</v>
      </c>
      <c r="R21" s="56"/>
      <c r="S21" s="65" t="s">
        <v>211</v>
      </c>
      <c r="T21" s="56"/>
      <c r="U21" s="56"/>
      <c r="V21" s="56"/>
    </row>
    <row r="22" customFormat="false" ht="12.8" hidden="false" customHeight="false" outlineLevel="0" collapsed="false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65" t="s">
        <v>212</v>
      </c>
      <c r="T22" s="56"/>
      <c r="U22" s="56"/>
      <c r="V22" s="56"/>
    </row>
    <row r="23" customFormat="false" ht="12.8" hidden="false" customHeight="false" outlineLevel="0" collapsed="false">
      <c r="R23" s="56"/>
      <c r="S23" s="65" t="s">
        <v>213</v>
      </c>
      <c r="T23" s="56"/>
      <c r="U23" s="56"/>
      <c r="V23" s="56"/>
    </row>
    <row r="24" customFormat="false" ht="12.8" hidden="false" customHeight="false" outlineLevel="0" collapsed="false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65" t="s">
        <v>214</v>
      </c>
      <c r="T24" s="56"/>
      <c r="U24" s="56"/>
      <c r="V24" s="56"/>
    </row>
    <row r="25" customFormat="false" ht="12.8" hidden="false" customHeight="false" outlineLevel="0" collapsed="false">
      <c r="S25" s="95" t="s">
        <v>215</v>
      </c>
    </row>
    <row r="26" customFormat="false" ht="12.8" hidden="false" customHeight="false" outlineLevel="0" collapsed="false">
      <c r="S26" s="95" t="s">
        <v>216</v>
      </c>
    </row>
    <row r="27" customFormat="false" ht="12.8" hidden="false" customHeight="false" outlineLevel="0" collapsed="false">
      <c r="S27" s="95" t="s">
        <v>217</v>
      </c>
    </row>
    <row r="28" customFormat="false" ht="12.8" hidden="false" customHeight="false" outlineLevel="0" collapsed="false">
      <c r="S28" s="96" t="s">
        <v>218</v>
      </c>
    </row>
    <row r="29" customFormat="false" ht="12.8" hidden="false" customHeight="false" outlineLevel="0" collapsed="false">
      <c r="S29" s="96" t="s">
        <v>219</v>
      </c>
    </row>
    <row r="30" customFormat="false" ht="12.8" hidden="false" customHeight="false" outlineLevel="0" collapsed="false">
      <c r="S30" s="96" t="s">
        <v>220</v>
      </c>
    </row>
    <row r="31" customFormat="false" ht="12.8" hidden="false" customHeight="false" outlineLevel="0" collapsed="false">
      <c r="S31" s="96" t="s">
        <v>221</v>
      </c>
    </row>
    <row r="32" customFormat="false" ht="12.8" hidden="false" customHeight="false" outlineLevel="0" collapsed="false">
      <c r="S32" s="96" t="s">
        <v>222</v>
      </c>
    </row>
    <row r="33" customFormat="false" ht="12.8" hidden="false" customHeight="false" outlineLevel="0" collapsed="false">
      <c r="S33" s="96" t="s">
        <v>223</v>
      </c>
    </row>
    <row r="34" customFormat="false" ht="12.8" hidden="false" customHeight="false" outlineLevel="0" collapsed="false">
      <c r="S34" s="96" t="s">
        <v>224</v>
      </c>
    </row>
    <row r="35" customFormat="false" ht="12.8" hidden="false" customHeight="false" outlineLevel="0" collapsed="false">
      <c r="S35" s="96" t="s">
        <v>225</v>
      </c>
    </row>
    <row r="36" customFormat="false" ht="12.8" hidden="false" customHeight="false" outlineLevel="0" collapsed="false">
      <c r="S36" s="95" t="s">
        <v>226</v>
      </c>
    </row>
    <row r="37" customFormat="false" ht="12.8" hidden="false" customHeight="false" outlineLevel="0" collapsed="false">
      <c r="S37" s="96" t="s">
        <v>227</v>
      </c>
    </row>
    <row r="38" customFormat="false" ht="12.8" hidden="false" customHeight="false" outlineLevel="0" collapsed="false">
      <c r="S38" s="96" t="s">
        <v>228</v>
      </c>
    </row>
    <row r="39" customFormat="false" ht="12.8" hidden="false" customHeight="false" outlineLevel="0" collapsed="false">
      <c r="S39" s="95" t="s">
        <v>229</v>
      </c>
    </row>
    <row r="40" customFormat="false" ht="12.8" hidden="false" customHeight="false" outlineLevel="0" collapsed="false">
      <c r="S40" s="96" t="s">
        <v>230</v>
      </c>
    </row>
    <row r="41" customFormat="false" ht="12.8" hidden="false" customHeight="false" outlineLevel="0" collapsed="false">
      <c r="S41" s="96" t="s">
        <v>231</v>
      </c>
    </row>
    <row r="42" customFormat="false" ht="12.8" hidden="false" customHeight="false" outlineLevel="0" collapsed="false">
      <c r="S42" s="96" t="s">
        <v>232</v>
      </c>
    </row>
    <row r="43" customFormat="false" ht="12.8" hidden="false" customHeight="false" outlineLevel="0" collapsed="false">
      <c r="S43" s="97" t="s">
        <v>233</v>
      </c>
    </row>
  </sheetData>
  <mergeCells count="85">
    <mergeCell ref="B1:Q1"/>
    <mergeCell ref="B2:I2"/>
    <mergeCell ref="J2:M2"/>
    <mergeCell ref="N2:O2"/>
    <mergeCell ref="P2:Q2"/>
    <mergeCell ref="B3:I3"/>
    <mergeCell ref="J3:M3"/>
    <mergeCell ref="N3:O3"/>
    <mergeCell ref="P3:Q3"/>
    <mergeCell ref="B4:C4"/>
    <mergeCell ref="D4:E4"/>
    <mergeCell ref="F4:G4"/>
    <mergeCell ref="H4:I4"/>
    <mergeCell ref="J4:Q4"/>
    <mergeCell ref="B5:C5"/>
    <mergeCell ref="D5:E5"/>
    <mergeCell ref="F5:G5"/>
    <mergeCell ref="H5:I5"/>
    <mergeCell ref="J5:Q5"/>
    <mergeCell ref="B6:I6"/>
    <mergeCell ref="J6:M6"/>
    <mergeCell ref="N6:O6"/>
    <mergeCell ref="P6:Q6"/>
    <mergeCell ref="B7:I7"/>
    <mergeCell ref="J7:M7"/>
    <mergeCell ref="N7:O7"/>
    <mergeCell ref="P7:Q7"/>
    <mergeCell ref="B8:C8"/>
    <mergeCell ref="D8:E8"/>
    <mergeCell ref="F8:G8"/>
    <mergeCell ref="H8:I8"/>
    <mergeCell ref="J8:Q8"/>
    <mergeCell ref="B9:C9"/>
    <mergeCell ref="D9:E9"/>
    <mergeCell ref="F9:I9"/>
    <mergeCell ref="J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I11"/>
    <mergeCell ref="J11:M11"/>
    <mergeCell ref="N11:O11"/>
    <mergeCell ref="P11:Q11"/>
    <mergeCell ref="B12:I12"/>
    <mergeCell ref="J12:M12"/>
    <mergeCell ref="N12:O12"/>
    <mergeCell ref="P12:Q12"/>
    <mergeCell ref="B13:I13"/>
    <mergeCell ref="J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Q16"/>
    <mergeCell ref="B18:C18"/>
    <mergeCell ref="D18:E18"/>
    <mergeCell ref="F18:G18"/>
    <mergeCell ref="H18:I18"/>
    <mergeCell ref="B19:C19"/>
    <mergeCell ref="D19:E19"/>
    <mergeCell ref="F19:G19"/>
    <mergeCell ref="H19:I19"/>
    <mergeCell ref="B20:C21"/>
    <mergeCell ref="D20:E21"/>
    <mergeCell ref="F20:G21"/>
    <mergeCell ref="H20:I21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17"/>
  <sheetViews>
    <sheetView showFormulas="false" showGridLines="true" showRowColHeaders="true" showZeros="true" rightToLeft="false" tabSelected="true" showOutlineSymbols="true" defaultGridColor="true" view="normal" topLeftCell="C55" colorId="64" zoomScale="100" zoomScaleNormal="100" zoomScalePageLayoutView="100" workbookViewId="0">
      <selection pane="topLeft" activeCell="F84" activeCellId="0" sqref="F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64"/>
    <col collapsed="false" customWidth="true" hidden="false" outlineLevel="0" max="2" min="2" style="0" width="3.61"/>
    <col collapsed="false" customWidth="true" hidden="false" outlineLevel="0" max="3" min="3" style="0" width="21.32"/>
    <col collapsed="false" customWidth="true" hidden="false" outlineLevel="0" max="4" min="4" style="0" width="8.9"/>
    <col collapsed="false" customWidth="true" hidden="false" outlineLevel="0" max="5" min="5" style="0" width="14.19"/>
    <col collapsed="false" customWidth="true" hidden="false" outlineLevel="0" max="6" min="6" style="0" width="11.26"/>
    <col collapsed="false" customWidth="true" hidden="false" outlineLevel="0" max="7" min="7" style="0" width="9.87"/>
    <col collapsed="false" customWidth="true" hidden="false" outlineLevel="0" max="8" min="8" style="0" width="14.93"/>
    <col collapsed="false" customWidth="true" hidden="false" outlineLevel="0" max="9" min="9" style="0" width="23.94"/>
    <col collapsed="false" customWidth="true" hidden="false" outlineLevel="0" max="10" min="10" style="0" width="74.29"/>
    <col collapsed="false" customWidth="true" hidden="false" outlineLevel="0" max="11" min="11" style="0" width="23.65"/>
    <col collapsed="false" customWidth="true" hidden="false" outlineLevel="0" max="12" min="12" style="0" width="177.23"/>
    <col collapsed="false" customWidth="true" hidden="false" outlineLevel="0" max="13" min="13" style="0" width="2.64"/>
  </cols>
  <sheetData>
    <row r="2" customFormat="false" ht="12.8" hidden="false" customHeight="false" outlineLevel="0" collapsed="false">
      <c r="B2" s="98" t="s">
        <v>234</v>
      </c>
      <c r="C2" s="98"/>
      <c r="D2" s="98"/>
      <c r="E2" s="98"/>
      <c r="F2" s="98"/>
      <c r="G2" s="98"/>
      <c r="H2" s="98"/>
      <c r="I2" s="98"/>
      <c r="J2" s="98"/>
      <c r="K2" s="98"/>
    </row>
    <row r="3" customFormat="false" ht="12.8" hidden="false" customHeight="false" outlineLevel="0" collapsed="false">
      <c r="B3" s="98"/>
      <c r="C3" s="98"/>
      <c r="D3" s="98"/>
      <c r="E3" s="98"/>
      <c r="F3" s="98"/>
      <c r="G3" s="98"/>
      <c r="H3" s="98"/>
      <c r="I3" s="98"/>
      <c r="J3" s="98"/>
      <c r="K3" s="98"/>
    </row>
    <row r="4" customFormat="false" ht="7.45" hidden="false" customHeight="true" outlineLevel="0" collapsed="false">
      <c r="B4" s="98"/>
      <c r="C4" s="98"/>
      <c r="D4" s="98"/>
      <c r="E4" s="98"/>
      <c r="F4" s="98"/>
      <c r="G4" s="98"/>
      <c r="H4" s="98"/>
      <c r="I4" s="98"/>
      <c r="J4" s="98"/>
      <c r="K4" s="98"/>
    </row>
    <row r="5" customFormat="false" ht="12.8" hidden="false" customHeight="false" outlineLevel="0" collapsed="false">
      <c r="B5" s="99" t="s">
        <v>235</v>
      </c>
      <c r="C5" s="99"/>
      <c r="D5" s="99"/>
      <c r="E5" s="99"/>
      <c r="F5" s="99"/>
      <c r="G5" s="99"/>
      <c r="H5" s="99"/>
      <c r="I5" s="99"/>
      <c r="J5" s="100" t="s">
        <v>236</v>
      </c>
      <c r="K5" s="101"/>
    </row>
    <row r="6" customFormat="false" ht="12.8" hidden="false" customHeight="false" outlineLevel="0" collapsed="false">
      <c r="B6" s="99"/>
      <c r="C6" s="99"/>
      <c r="D6" s="99"/>
      <c r="E6" s="99"/>
      <c r="F6" s="99"/>
      <c r="G6" s="99"/>
      <c r="H6" s="99"/>
      <c r="I6" s="99"/>
      <c r="J6" s="100"/>
      <c r="K6" s="100"/>
    </row>
    <row r="7" customFormat="false" ht="12.8" hidden="false" customHeight="false" outlineLevel="0" collapsed="false">
      <c r="B7" s="102"/>
    </row>
    <row r="8" customFormat="false" ht="12.8" hidden="false" customHeight="false" outlineLevel="0" collapsed="false">
      <c r="A8" s="103"/>
      <c r="B8" s="103"/>
      <c r="C8" s="104" t="s">
        <v>237</v>
      </c>
      <c r="D8" s="104"/>
      <c r="E8" s="104"/>
      <c r="F8" s="104"/>
      <c r="G8" s="104"/>
      <c r="H8" s="105" t="s">
        <v>238</v>
      </c>
      <c r="I8" s="106" t="s">
        <v>3</v>
      </c>
      <c r="J8" s="80" t="s">
        <v>239</v>
      </c>
      <c r="K8" s="80" t="s">
        <v>240</v>
      </c>
      <c r="L8" s="80" t="s">
        <v>241</v>
      </c>
      <c r="M8" s="103"/>
    </row>
    <row r="9" customFormat="false" ht="12.8" hidden="false" customHeight="false" outlineLevel="0" collapsed="false">
      <c r="A9" s="103"/>
      <c r="E9" s="107" t="s">
        <v>242</v>
      </c>
      <c r="F9" s="107" t="s">
        <v>243</v>
      </c>
      <c r="G9" s="107" t="s">
        <v>243</v>
      </c>
      <c r="M9" s="103"/>
    </row>
    <row r="10" customFormat="false" ht="12.8" hidden="false" customHeight="false" outlineLevel="0" collapsed="false">
      <c r="A10" s="103"/>
      <c r="C10" s="80" t="s">
        <v>244</v>
      </c>
      <c r="D10" s="80" t="s">
        <v>245</v>
      </c>
      <c r="E10" s="108" t="s">
        <v>246</v>
      </c>
      <c r="F10" s="109" t="s">
        <v>247</v>
      </c>
      <c r="G10" s="80" t="s">
        <v>248</v>
      </c>
      <c r="M10" s="103"/>
    </row>
    <row r="11" customFormat="false" ht="12.8" hidden="false" customHeight="false" outlineLevel="0" collapsed="false">
      <c r="A11" s="103"/>
      <c r="B11" s="0" t="n">
        <v>0</v>
      </c>
      <c r="C11" s="110" t="s">
        <v>249</v>
      </c>
      <c r="D11" s="110" t="s">
        <v>250</v>
      </c>
      <c r="E11" s="111" t="n">
        <v>0</v>
      </c>
      <c r="F11" s="112"/>
      <c r="G11" s="30" t="n">
        <v>0</v>
      </c>
      <c r="H11" s="57" t="s">
        <v>251</v>
      </c>
      <c r="I11" s="113" t="s">
        <v>252</v>
      </c>
      <c r="J11" s="114" t="s">
        <v>253</v>
      </c>
      <c r="K11" s="114" t="s">
        <v>254</v>
      </c>
      <c r="M11" s="103"/>
    </row>
    <row r="12" customFormat="false" ht="12.8" hidden="false" customHeight="false" outlineLevel="0" collapsed="false">
      <c r="A12" s="103"/>
      <c r="B12" s="0" t="n">
        <f aca="false">B11+1</f>
        <v>1</v>
      </c>
      <c r="C12" s="110" t="s">
        <v>255</v>
      </c>
      <c r="D12" s="110"/>
      <c r="E12" s="110"/>
      <c r="F12" s="112"/>
      <c r="G12" s="30" t="n">
        <v>1</v>
      </c>
      <c r="H12" s="57"/>
      <c r="I12" s="115"/>
      <c r="J12" s="114" t="s">
        <v>256</v>
      </c>
      <c r="K12" s="114" t="s">
        <v>254</v>
      </c>
      <c r="M12" s="103"/>
    </row>
    <row r="13" customFormat="false" ht="12.8" hidden="false" customHeight="false" outlineLevel="0" collapsed="false">
      <c r="A13" s="103"/>
      <c r="B13" s="0" t="n">
        <f aca="false">B12+1</f>
        <v>2</v>
      </c>
      <c r="C13" s="110" t="s">
        <v>257</v>
      </c>
      <c r="D13" s="110" t="s">
        <v>258</v>
      </c>
      <c r="E13" s="111" t="n">
        <v>1</v>
      </c>
      <c r="F13" s="112"/>
      <c r="G13" s="30" t="n">
        <v>0</v>
      </c>
      <c r="H13" s="57"/>
      <c r="I13" s="115" t="s">
        <v>258</v>
      </c>
      <c r="J13" s="114" t="s">
        <v>259</v>
      </c>
      <c r="K13" s="114" t="s">
        <v>254</v>
      </c>
      <c r="M13" s="103"/>
    </row>
    <row r="14" customFormat="false" ht="12.8" hidden="false" customHeight="false" outlineLevel="0" collapsed="false">
      <c r="A14" s="103"/>
      <c r="B14" s="0" t="n">
        <f aca="false">B13+1</f>
        <v>3</v>
      </c>
      <c r="C14" s="110" t="s">
        <v>260</v>
      </c>
      <c r="D14" s="110"/>
      <c r="E14" s="111"/>
      <c r="F14" s="112"/>
      <c r="G14" s="30" t="n">
        <v>1</v>
      </c>
      <c r="H14" s="57"/>
      <c r="I14" s="115"/>
      <c r="J14" s="114" t="s">
        <v>261</v>
      </c>
      <c r="K14" s="114" t="s">
        <v>254</v>
      </c>
      <c r="M14" s="103"/>
    </row>
    <row r="15" customFormat="false" ht="12.8" hidden="false" customHeight="false" outlineLevel="0" collapsed="false">
      <c r="A15" s="103"/>
      <c r="B15" s="0" t="n">
        <f aca="false">B14+1</f>
        <v>4</v>
      </c>
      <c r="C15" s="110" t="s">
        <v>262</v>
      </c>
      <c r="D15" s="110" t="s">
        <v>263</v>
      </c>
      <c r="E15" s="111" t="n">
        <v>2</v>
      </c>
      <c r="F15" s="112"/>
      <c r="G15" s="30" t="n">
        <v>0</v>
      </c>
      <c r="H15" s="57"/>
      <c r="I15" s="115" t="s">
        <v>264</v>
      </c>
      <c r="J15" s="114" t="s">
        <v>265</v>
      </c>
      <c r="K15" s="114" t="s">
        <v>254</v>
      </c>
      <c r="M15" s="103"/>
    </row>
    <row r="16" customFormat="false" ht="12.8" hidden="false" customHeight="false" outlineLevel="0" collapsed="false">
      <c r="A16" s="103"/>
      <c r="B16" s="0" t="n">
        <f aca="false">B15+1</f>
        <v>5</v>
      </c>
      <c r="C16" s="110" t="s">
        <v>266</v>
      </c>
      <c r="D16" s="110"/>
      <c r="E16" s="111"/>
      <c r="F16" s="112"/>
      <c r="G16" s="30" t="n">
        <v>1</v>
      </c>
      <c r="H16" s="57"/>
      <c r="I16" s="115"/>
      <c r="J16" s="114" t="s">
        <v>267</v>
      </c>
      <c r="K16" s="114" t="s">
        <v>254</v>
      </c>
      <c r="M16" s="103"/>
    </row>
    <row r="17" customFormat="false" ht="12.8" hidden="false" customHeight="false" outlineLevel="0" collapsed="false">
      <c r="A17" s="103"/>
      <c r="B17" s="0" t="n">
        <f aca="false">B16+1</f>
        <v>6</v>
      </c>
      <c r="C17" s="110" t="s">
        <v>268</v>
      </c>
      <c r="D17" s="110" t="s">
        <v>269</v>
      </c>
      <c r="E17" s="111" t="n">
        <v>3</v>
      </c>
      <c r="F17" s="112"/>
      <c r="G17" s="30" t="n">
        <v>0</v>
      </c>
      <c r="H17" s="57"/>
      <c r="I17" s="115" t="s">
        <v>270</v>
      </c>
      <c r="J17" s="114" t="s">
        <v>271</v>
      </c>
      <c r="K17" s="114" t="s">
        <v>254</v>
      </c>
      <c r="M17" s="103"/>
    </row>
    <row r="18" customFormat="false" ht="12.8" hidden="false" customHeight="false" outlineLevel="0" collapsed="false">
      <c r="A18" s="103"/>
      <c r="B18" s="0" t="n">
        <f aca="false">B17+1</f>
        <v>7</v>
      </c>
      <c r="C18" s="110" t="s">
        <v>272</v>
      </c>
      <c r="D18" s="110"/>
      <c r="E18" s="111"/>
      <c r="F18" s="112"/>
      <c r="G18" s="30" t="n">
        <v>1</v>
      </c>
      <c r="H18" s="57"/>
      <c r="I18" s="115"/>
      <c r="J18" s="114" t="s">
        <v>1270</v>
      </c>
      <c r="K18" s="114" t="s">
        <v>254</v>
      </c>
      <c r="M18" s="103"/>
    </row>
    <row r="19" customFormat="false" ht="12.8" hidden="false" customHeight="false" outlineLevel="0" collapsed="false">
      <c r="A19" s="103"/>
      <c r="B19" s="0" t="n">
        <f aca="false">B18+1</f>
        <v>8</v>
      </c>
      <c r="C19" s="110" t="s">
        <v>274</v>
      </c>
      <c r="D19" s="110" t="s">
        <v>275</v>
      </c>
      <c r="E19" s="111" t="n">
        <v>4</v>
      </c>
      <c r="F19" s="112"/>
      <c r="G19" s="30" t="n">
        <v>0</v>
      </c>
      <c r="H19" s="57"/>
      <c r="I19" s="115" t="s">
        <v>276</v>
      </c>
      <c r="J19" s="114" t="s">
        <v>277</v>
      </c>
      <c r="K19" s="114" t="s">
        <v>254</v>
      </c>
      <c r="M19" s="103"/>
    </row>
    <row r="20" customFormat="false" ht="12.8" hidden="false" customHeight="false" outlineLevel="0" collapsed="false">
      <c r="A20" s="103"/>
      <c r="B20" s="0" t="n">
        <f aca="false">B19+1</f>
        <v>9</v>
      </c>
      <c r="C20" s="110" t="s">
        <v>278</v>
      </c>
      <c r="D20" s="110"/>
      <c r="E20" s="111"/>
      <c r="F20" s="112"/>
      <c r="G20" s="30" t="n">
        <v>1</v>
      </c>
      <c r="H20" s="57"/>
      <c r="I20" s="115"/>
      <c r="J20" s="114" t="s">
        <v>1271</v>
      </c>
      <c r="K20" s="114" t="s">
        <v>254</v>
      </c>
      <c r="M20" s="103"/>
    </row>
    <row r="21" customFormat="false" ht="12.8" hidden="false" customHeight="false" outlineLevel="0" collapsed="false">
      <c r="A21" s="103"/>
      <c r="B21" s="0" t="n">
        <f aca="false">B20+1</f>
        <v>10</v>
      </c>
      <c r="C21" s="110" t="s">
        <v>280</v>
      </c>
      <c r="D21" s="110" t="s">
        <v>281</v>
      </c>
      <c r="E21" s="111" t="n">
        <v>5</v>
      </c>
      <c r="F21" s="112"/>
      <c r="G21" s="30" t="n">
        <v>0</v>
      </c>
      <c r="H21" s="57" t="s">
        <v>282</v>
      </c>
      <c r="I21" s="115" t="s">
        <v>283</v>
      </c>
      <c r="J21" s="114" t="s">
        <v>284</v>
      </c>
      <c r="K21" s="114" t="s">
        <v>285</v>
      </c>
      <c r="M21" s="103"/>
    </row>
    <row r="22" customFormat="false" ht="12.8" hidden="false" customHeight="false" outlineLevel="0" collapsed="false">
      <c r="A22" s="103"/>
      <c r="B22" s="0" t="n">
        <f aca="false">B21+1</f>
        <v>11</v>
      </c>
      <c r="C22" s="110" t="s">
        <v>286</v>
      </c>
      <c r="D22" s="110"/>
      <c r="E22" s="111"/>
      <c r="F22" s="112"/>
      <c r="G22" s="30" t="n">
        <v>1</v>
      </c>
      <c r="H22" s="57"/>
      <c r="I22" s="115"/>
      <c r="J22" s="114" t="s">
        <v>287</v>
      </c>
      <c r="K22" s="114" t="s">
        <v>285</v>
      </c>
      <c r="M22" s="103"/>
    </row>
    <row r="23" customFormat="false" ht="12.8" hidden="false" customHeight="false" outlineLevel="0" collapsed="false">
      <c r="A23" s="103"/>
      <c r="B23" s="0" t="n">
        <f aca="false">B22+1</f>
        <v>12</v>
      </c>
      <c r="C23" s="110" t="s">
        <v>288</v>
      </c>
      <c r="D23" s="116" t="s">
        <v>289</v>
      </c>
      <c r="E23" s="111" t="n">
        <v>6</v>
      </c>
      <c r="F23" s="112"/>
      <c r="G23" s="30" t="n">
        <v>0</v>
      </c>
      <c r="H23" s="57"/>
      <c r="I23" s="115" t="s">
        <v>290</v>
      </c>
      <c r="J23" s="114" t="s">
        <v>291</v>
      </c>
      <c r="K23" s="114" t="s">
        <v>285</v>
      </c>
      <c r="M23" s="103"/>
    </row>
    <row r="24" customFormat="false" ht="12.8" hidden="false" customHeight="false" outlineLevel="0" collapsed="false">
      <c r="A24" s="103"/>
      <c r="B24" s="0" t="n">
        <f aca="false">B23+1</f>
        <v>13</v>
      </c>
      <c r="C24" s="110" t="s">
        <v>292</v>
      </c>
      <c r="D24" s="116"/>
      <c r="E24" s="111"/>
      <c r="F24" s="112"/>
      <c r="G24" s="30" t="n">
        <v>1</v>
      </c>
      <c r="H24" s="57"/>
      <c r="I24" s="115"/>
      <c r="J24" s="114" t="s">
        <v>1272</v>
      </c>
      <c r="K24" s="114" t="s">
        <v>285</v>
      </c>
      <c r="M24" s="103"/>
    </row>
    <row r="25" customFormat="false" ht="12.8" hidden="false" customHeight="false" outlineLevel="0" collapsed="false">
      <c r="A25" s="103"/>
      <c r="B25" s="0" t="n">
        <f aca="false">B24+1</f>
        <v>14</v>
      </c>
      <c r="C25" s="110" t="s">
        <v>294</v>
      </c>
      <c r="D25" s="110" t="s">
        <v>295</v>
      </c>
      <c r="E25" s="111" t="n">
        <v>7</v>
      </c>
      <c r="F25" s="112"/>
      <c r="G25" s="30" t="n">
        <v>0</v>
      </c>
      <c r="H25" s="57"/>
      <c r="I25" s="115" t="s">
        <v>296</v>
      </c>
      <c r="J25" s="114" t="s">
        <v>297</v>
      </c>
      <c r="K25" s="114" t="s">
        <v>298</v>
      </c>
      <c r="M25" s="103"/>
    </row>
    <row r="26" customFormat="false" ht="12.8" hidden="false" customHeight="false" outlineLevel="0" collapsed="false">
      <c r="A26" s="103"/>
      <c r="B26" s="0" t="n">
        <f aca="false">B25+1</f>
        <v>15</v>
      </c>
      <c r="C26" s="110" t="s">
        <v>299</v>
      </c>
      <c r="D26" s="110"/>
      <c r="E26" s="111"/>
      <c r="F26" s="112"/>
      <c r="G26" s="30" t="n">
        <v>1</v>
      </c>
      <c r="H26" s="57"/>
      <c r="I26" s="115"/>
      <c r="J26" s="114" t="s">
        <v>1273</v>
      </c>
      <c r="K26" s="114" t="s">
        <v>298</v>
      </c>
      <c r="M26" s="103"/>
    </row>
    <row r="27" customFormat="false" ht="12.8" hidden="false" customHeight="false" outlineLevel="0" collapsed="false">
      <c r="A27" s="103"/>
      <c r="B27" s="0" t="n">
        <f aca="false">B26+1</f>
        <v>16</v>
      </c>
      <c r="C27" s="110" t="s">
        <v>301</v>
      </c>
      <c r="D27" s="110" t="s">
        <v>302</v>
      </c>
      <c r="E27" s="111" t="n">
        <v>9</v>
      </c>
      <c r="F27" s="117"/>
      <c r="G27" s="111" t="n">
        <v>0</v>
      </c>
      <c r="H27" s="57" t="s">
        <v>251</v>
      </c>
      <c r="I27" s="115" t="s">
        <v>303</v>
      </c>
      <c r="J27" s="118" t="s">
        <v>304</v>
      </c>
      <c r="K27" s="118" t="s">
        <v>254</v>
      </c>
      <c r="L27" s="119" t="s">
        <v>305</v>
      </c>
      <c r="M27" s="103"/>
    </row>
    <row r="28" customFormat="false" ht="12.8" hidden="false" customHeight="false" outlineLevel="0" collapsed="false">
      <c r="A28" s="103"/>
      <c r="B28" s="0" t="n">
        <f aca="false">B27+1</f>
        <v>17</v>
      </c>
      <c r="C28" s="110" t="s">
        <v>301</v>
      </c>
      <c r="D28" s="110"/>
      <c r="E28" s="111"/>
      <c r="F28" s="117"/>
      <c r="G28" s="111"/>
      <c r="H28" s="57"/>
      <c r="I28" s="115" t="s">
        <v>306</v>
      </c>
      <c r="J28" s="118"/>
      <c r="K28" s="118"/>
      <c r="L28" s="119"/>
      <c r="M28" s="103"/>
    </row>
    <row r="29" customFormat="false" ht="12.8" hidden="false" customHeight="false" outlineLevel="0" collapsed="false">
      <c r="A29" s="103"/>
      <c r="B29" s="0" t="n">
        <f aca="false">B28+1</f>
        <v>18</v>
      </c>
      <c r="C29" s="30" t="s">
        <v>307</v>
      </c>
      <c r="D29" s="30" t="s">
        <v>308</v>
      </c>
      <c r="E29" s="111"/>
      <c r="F29" s="117"/>
      <c r="G29" s="30" t="n">
        <v>1</v>
      </c>
      <c r="H29" s="57"/>
      <c r="I29" s="115"/>
      <c r="J29" s="114" t="s">
        <v>309</v>
      </c>
      <c r="K29" s="114" t="s">
        <v>254</v>
      </c>
      <c r="L29" s="0" t="s">
        <v>310</v>
      </c>
      <c r="M29" s="103"/>
    </row>
    <row r="30" customFormat="false" ht="12.8" hidden="false" customHeight="false" outlineLevel="0" collapsed="false">
      <c r="A30" s="103"/>
      <c r="B30" s="0" t="n">
        <f aca="false">B29+1</f>
        <v>19</v>
      </c>
      <c r="C30" s="30" t="s">
        <v>311</v>
      </c>
      <c r="D30" s="30" t="s">
        <v>312</v>
      </c>
      <c r="E30" s="111" t="n">
        <v>10</v>
      </c>
      <c r="F30" s="112"/>
      <c r="G30" s="111" t="n">
        <v>0</v>
      </c>
      <c r="H30" s="57" t="s">
        <v>313</v>
      </c>
      <c r="I30" s="115" t="s">
        <v>312</v>
      </c>
      <c r="J30" s="114" t="s">
        <v>314</v>
      </c>
      <c r="K30" s="114"/>
      <c r="M30" s="103"/>
    </row>
    <row r="31" customFormat="false" ht="12.8" hidden="false" customHeight="false" outlineLevel="0" collapsed="false">
      <c r="A31" s="103"/>
      <c r="B31" s="0" t="n">
        <f aca="false">B30+1</f>
        <v>20</v>
      </c>
      <c r="C31" s="30" t="s">
        <v>315</v>
      </c>
      <c r="D31" s="30" t="s">
        <v>316</v>
      </c>
      <c r="E31" s="111"/>
      <c r="F31" s="112"/>
      <c r="G31" s="111"/>
      <c r="H31" s="111"/>
      <c r="I31" s="115" t="s">
        <v>316</v>
      </c>
      <c r="J31" s="114" t="s">
        <v>317</v>
      </c>
      <c r="K31" s="114"/>
      <c r="L31" s="0" t="s">
        <v>318</v>
      </c>
      <c r="M31" s="103"/>
    </row>
    <row r="32" customFormat="false" ht="12.8" hidden="false" customHeight="false" outlineLevel="0" collapsed="false">
      <c r="A32" s="103"/>
      <c r="B32" s="0" t="n">
        <f aca="false">B31+1</f>
        <v>21</v>
      </c>
      <c r="C32" s="30" t="s">
        <v>319</v>
      </c>
      <c r="D32" s="30" t="s">
        <v>320</v>
      </c>
      <c r="E32" s="111"/>
      <c r="F32" s="112"/>
      <c r="G32" s="111" t="n">
        <v>1</v>
      </c>
      <c r="H32" s="57"/>
      <c r="I32" s="115"/>
      <c r="J32" s="114" t="s">
        <v>321</v>
      </c>
      <c r="K32" s="114"/>
      <c r="L32" s="0" t="s">
        <v>322</v>
      </c>
      <c r="M32" s="103"/>
    </row>
    <row r="33" customFormat="false" ht="12.8" hidden="false" customHeight="false" outlineLevel="0" collapsed="false">
      <c r="A33" s="103"/>
      <c r="B33" s="0" t="n">
        <f aca="false">B32+1</f>
        <v>22</v>
      </c>
      <c r="C33" s="30" t="s">
        <v>323</v>
      </c>
      <c r="D33" s="30" t="s">
        <v>324</v>
      </c>
      <c r="E33" s="111"/>
      <c r="F33" s="112"/>
      <c r="G33" s="111"/>
      <c r="H33" s="111"/>
      <c r="I33" s="115"/>
      <c r="J33" s="114" t="s">
        <v>325</v>
      </c>
      <c r="K33" s="114"/>
      <c r="M33" s="103"/>
    </row>
    <row r="34" customFormat="false" ht="12.8" hidden="false" customHeight="false" outlineLevel="0" collapsed="false">
      <c r="A34" s="103"/>
      <c r="B34" s="0" t="n">
        <f aca="false">B33+1</f>
        <v>23</v>
      </c>
      <c r="C34" s="30" t="s">
        <v>326</v>
      </c>
      <c r="D34" s="30" t="s">
        <v>327</v>
      </c>
      <c r="E34" s="111"/>
      <c r="F34" s="112"/>
      <c r="G34" s="120"/>
      <c r="H34" s="57" t="s">
        <v>328</v>
      </c>
      <c r="I34" s="115" t="s">
        <v>329</v>
      </c>
      <c r="J34" s="114" t="s">
        <v>330</v>
      </c>
      <c r="K34" s="114"/>
      <c r="M34" s="103"/>
    </row>
    <row r="35" customFormat="false" ht="12.8" hidden="false" customHeight="false" outlineLevel="0" collapsed="false">
      <c r="A35" s="103"/>
      <c r="B35" s="0" t="n">
        <f aca="false">B34+1</f>
        <v>24</v>
      </c>
      <c r="C35" s="30" t="s">
        <v>331</v>
      </c>
      <c r="D35" s="30" t="s">
        <v>327</v>
      </c>
      <c r="E35" s="111"/>
      <c r="F35" s="112"/>
      <c r="G35" s="120"/>
      <c r="H35" s="57"/>
      <c r="I35" s="115"/>
      <c r="J35" s="114" t="s">
        <v>332</v>
      </c>
      <c r="K35" s="114"/>
      <c r="M35" s="103"/>
    </row>
    <row r="36" customFormat="false" ht="12.8" hidden="false" customHeight="false" outlineLevel="0" collapsed="false">
      <c r="A36" s="103"/>
      <c r="B36" s="0" t="n">
        <f aca="false">B35+1</f>
        <v>25</v>
      </c>
      <c r="C36" s="30" t="s">
        <v>333</v>
      </c>
      <c r="D36" s="30" t="s">
        <v>334</v>
      </c>
      <c r="E36" s="111" t="n">
        <v>11</v>
      </c>
      <c r="F36" s="111" t="n">
        <v>0</v>
      </c>
      <c r="G36" s="111" t="n">
        <v>0</v>
      </c>
      <c r="H36" s="57" t="s">
        <v>313</v>
      </c>
      <c r="I36" s="115" t="s">
        <v>335</v>
      </c>
      <c r="J36" s="114" t="s">
        <v>336</v>
      </c>
      <c r="K36" s="114" t="s">
        <v>337</v>
      </c>
      <c r="M36" s="103"/>
    </row>
    <row r="37" customFormat="false" ht="12.8" hidden="false" customHeight="false" outlineLevel="0" collapsed="false">
      <c r="A37" s="103"/>
      <c r="B37" s="0" t="n">
        <f aca="false">B36+1</f>
        <v>26</v>
      </c>
      <c r="C37" s="30" t="s">
        <v>338</v>
      </c>
      <c r="D37" s="30" t="s">
        <v>339</v>
      </c>
      <c r="E37" s="111"/>
      <c r="F37" s="111"/>
      <c r="G37" s="111"/>
      <c r="H37" s="57" t="s">
        <v>328</v>
      </c>
      <c r="I37" s="115" t="s">
        <v>340</v>
      </c>
      <c r="J37" s="114" t="s">
        <v>341</v>
      </c>
      <c r="K37" s="114" t="s">
        <v>337</v>
      </c>
      <c r="M37" s="103"/>
    </row>
    <row r="38" customFormat="false" ht="12.8" hidden="false" customHeight="false" outlineLevel="0" collapsed="false">
      <c r="A38" s="103"/>
      <c r="B38" s="0" t="n">
        <f aca="false">B37+1</f>
        <v>27</v>
      </c>
      <c r="C38" s="30" t="s">
        <v>342</v>
      </c>
      <c r="D38" s="30" t="s">
        <v>343</v>
      </c>
      <c r="E38" s="111"/>
      <c r="F38" s="111"/>
      <c r="G38" s="30" t="n">
        <v>1</v>
      </c>
      <c r="H38" s="80" t="s">
        <v>313</v>
      </c>
      <c r="I38" s="115" t="s">
        <v>343</v>
      </c>
      <c r="J38" s="114" t="s">
        <v>344</v>
      </c>
      <c r="K38" s="114" t="s">
        <v>337</v>
      </c>
      <c r="M38" s="103"/>
    </row>
    <row r="39" customFormat="false" ht="12.8" hidden="false" customHeight="false" outlineLevel="0" collapsed="false">
      <c r="A39" s="103"/>
      <c r="B39" s="0" t="n">
        <f aca="false">B38+1</f>
        <v>28</v>
      </c>
      <c r="C39" s="30" t="s">
        <v>345</v>
      </c>
      <c r="D39" s="30" t="s">
        <v>346</v>
      </c>
      <c r="E39" s="111"/>
      <c r="F39" s="111" t="n">
        <v>1</v>
      </c>
      <c r="G39" s="30" t="n">
        <v>0</v>
      </c>
      <c r="H39" s="57" t="s">
        <v>328</v>
      </c>
      <c r="I39" s="115" t="s">
        <v>347</v>
      </c>
      <c r="J39" s="114" t="s">
        <v>348</v>
      </c>
      <c r="K39" s="114" t="s">
        <v>349</v>
      </c>
      <c r="M39" s="103"/>
    </row>
    <row r="40" customFormat="false" ht="12.8" hidden="false" customHeight="false" outlineLevel="0" collapsed="false">
      <c r="A40" s="103"/>
      <c r="B40" s="0" t="n">
        <f aca="false">B39+1</f>
        <v>29</v>
      </c>
      <c r="C40" s="30" t="s">
        <v>350</v>
      </c>
      <c r="D40" s="30" t="s">
        <v>351</v>
      </c>
      <c r="E40" s="111"/>
      <c r="F40" s="111"/>
      <c r="G40" s="30" t="n">
        <v>1</v>
      </c>
      <c r="H40" s="57"/>
      <c r="I40" s="115" t="s">
        <v>352</v>
      </c>
      <c r="J40" s="114" t="s">
        <v>353</v>
      </c>
      <c r="K40" s="114" t="s">
        <v>349</v>
      </c>
      <c r="M40" s="103"/>
    </row>
    <row r="41" customFormat="false" ht="12.8" hidden="false" customHeight="false" outlineLevel="0" collapsed="false">
      <c r="A41" s="103"/>
      <c r="B41" s="0" t="n">
        <f aca="false">B40+1</f>
        <v>30</v>
      </c>
      <c r="C41" s="30" t="s">
        <v>354</v>
      </c>
      <c r="D41" s="30" t="s">
        <v>355</v>
      </c>
      <c r="E41" s="111"/>
      <c r="F41" s="111"/>
      <c r="G41" s="30" t="n">
        <v>2</v>
      </c>
      <c r="H41" s="57"/>
      <c r="I41" s="115" t="s">
        <v>356</v>
      </c>
      <c r="J41" s="114" t="s">
        <v>357</v>
      </c>
      <c r="K41" s="114" t="s">
        <v>358</v>
      </c>
      <c r="M41" s="103"/>
    </row>
    <row r="42" customFormat="false" ht="12.8" hidden="false" customHeight="false" outlineLevel="0" collapsed="false">
      <c r="A42" s="103"/>
      <c r="B42" s="0" t="n">
        <f aca="false">B41+1</f>
        <v>31</v>
      </c>
      <c r="C42" s="30" t="s">
        <v>359</v>
      </c>
      <c r="D42" s="30" t="s">
        <v>360</v>
      </c>
      <c r="E42" s="111"/>
      <c r="F42" s="111"/>
      <c r="G42" s="30" t="n">
        <v>3</v>
      </c>
      <c r="H42" s="57"/>
      <c r="I42" s="115"/>
      <c r="J42" s="114" t="s">
        <v>361</v>
      </c>
      <c r="K42" s="114" t="s">
        <v>358</v>
      </c>
      <c r="M42" s="103"/>
    </row>
    <row r="43" customFormat="false" ht="12.8" hidden="false" customHeight="false" outlineLevel="0" collapsed="false">
      <c r="A43" s="103"/>
      <c r="B43" s="0" t="n">
        <f aca="false">B42+1</f>
        <v>32</v>
      </c>
      <c r="C43" s="30" t="s">
        <v>362</v>
      </c>
      <c r="D43" s="30" t="s">
        <v>363</v>
      </c>
      <c r="E43" s="111"/>
      <c r="F43" s="121" t="n">
        <v>2</v>
      </c>
      <c r="G43" s="122"/>
      <c r="H43" s="57" t="s">
        <v>313</v>
      </c>
      <c r="I43" s="115" t="s">
        <v>364</v>
      </c>
      <c r="J43" s="114" t="s">
        <v>365</v>
      </c>
      <c r="K43" s="114"/>
      <c r="M43" s="103"/>
    </row>
    <row r="44" customFormat="false" ht="12.8" hidden="false" customHeight="false" outlineLevel="0" collapsed="false">
      <c r="A44" s="103"/>
      <c r="B44" s="0" t="n">
        <f aca="false">B43+1</f>
        <v>33</v>
      </c>
      <c r="C44" s="30" t="s">
        <v>366</v>
      </c>
      <c r="D44" s="30" t="s">
        <v>367</v>
      </c>
      <c r="E44" s="111"/>
      <c r="F44" s="111" t="n">
        <v>3</v>
      </c>
      <c r="G44" s="30" t="n">
        <v>0</v>
      </c>
      <c r="H44" s="57"/>
      <c r="I44" s="115" t="s">
        <v>368</v>
      </c>
      <c r="J44" s="114" t="s">
        <v>369</v>
      </c>
      <c r="K44" s="114"/>
      <c r="M44" s="103"/>
    </row>
    <row r="45" customFormat="false" ht="12.8" hidden="false" customHeight="false" outlineLevel="0" collapsed="false">
      <c r="A45" s="103"/>
      <c r="B45" s="0" t="n">
        <f aca="false">B44+1</f>
        <v>34</v>
      </c>
      <c r="C45" s="30" t="s">
        <v>370</v>
      </c>
      <c r="D45" s="30" t="s">
        <v>371</v>
      </c>
      <c r="E45" s="111"/>
      <c r="F45" s="111"/>
      <c r="G45" s="30" t="n">
        <v>2</v>
      </c>
      <c r="H45" s="57" t="s">
        <v>328</v>
      </c>
      <c r="I45" s="115"/>
      <c r="J45" s="114" t="s">
        <v>372</v>
      </c>
      <c r="K45" s="114"/>
      <c r="M45" s="103"/>
    </row>
    <row r="46" customFormat="false" ht="12.8" hidden="false" customHeight="false" outlineLevel="0" collapsed="false">
      <c r="A46" s="103"/>
      <c r="B46" s="0" t="n">
        <f aca="false">B45+1</f>
        <v>35</v>
      </c>
      <c r="C46" s="30" t="s">
        <v>373</v>
      </c>
      <c r="D46" s="30" t="s">
        <v>374</v>
      </c>
      <c r="E46" s="111"/>
      <c r="F46" s="111"/>
      <c r="G46" s="30" t="n">
        <v>3</v>
      </c>
      <c r="H46" s="57"/>
      <c r="I46" s="115"/>
      <c r="J46" s="114" t="s">
        <v>375</v>
      </c>
      <c r="K46" s="114"/>
      <c r="M46" s="103"/>
    </row>
    <row r="47" customFormat="false" ht="12.8" hidden="false" customHeight="false" outlineLevel="0" collapsed="false">
      <c r="A47" s="103"/>
      <c r="B47" s="0" t="n">
        <f aca="false">B46+1</f>
        <v>36</v>
      </c>
      <c r="C47" s="30" t="s">
        <v>376</v>
      </c>
      <c r="D47" s="30" t="s">
        <v>377</v>
      </c>
      <c r="E47" s="111" t="n">
        <v>12</v>
      </c>
      <c r="F47" s="111" t="n">
        <v>0</v>
      </c>
      <c r="G47" s="30" t="n">
        <v>1</v>
      </c>
      <c r="H47" s="57" t="s">
        <v>313</v>
      </c>
      <c r="I47" s="115" t="s">
        <v>378</v>
      </c>
      <c r="J47" s="114" t="s">
        <v>379</v>
      </c>
      <c r="K47" s="114"/>
      <c r="M47" s="103"/>
    </row>
    <row r="48" customFormat="false" ht="12.8" hidden="false" customHeight="false" outlineLevel="0" collapsed="false">
      <c r="A48" s="103"/>
      <c r="B48" s="0" t="n">
        <f aca="false">B47+1</f>
        <v>37</v>
      </c>
      <c r="C48" s="30" t="s">
        <v>380</v>
      </c>
      <c r="D48" s="30" t="s">
        <v>381</v>
      </c>
      <c r="E48" s="111"/>
      <c r="F48" s="111"/>
      <c r="G48" s="30" t="n">
        <v>0</v>
      </c>
      <c r="H48" s="57"/>
      <c r="I48" s="115" t="s">
        <v>382</v>
      </c>
      <c r="J48" s="114" t="s">
        <v>383</v>
      </c>
      <c r="K48" s="114"/>
      <c r="M48" s="103"/>
    </row>
    <row r="49" customFormat="false" ht="12.8" hidden="false" customHeight="false" outlineLevel="0" collapsed="false">
      <c r="A49" s="103"/>
      <c r="B49" s="0" t="n">
        <f aca="false">B48+1</f>
        <v>38</v>
      </c>
      <c r="C49" s="30" t="s">
        <v>384</v>
      </c>
      <c r="D49" s="30" t="s">
        <v>385</v>
      </c>
      <c r="E49" s="111"/>
      <c r="F49" s="111"/>
      <c r="G49" s="30" t="n">
        <v>2</v>
      </c>
      <c r="H49" s="57"/>
      <c r="I49" s="115"/>
      <c r="J49" s="123" t="s">
        <v>386</v>
      </c>
      <c r="K49" s="114"/>
      <c r="M49" s="103"/>
    </row>
    <row r="50" customFormat="false" ht="12.8" hidden="false" customHeight="false" outlineLevel="0" collapsed="false">
      <c r="A50" s="103"/>
      <c r="B50" s="0" t="n">
        <f aca="false">B49+1</f>
        <v>39</v>
      </c>
      <c r="C50" s="30" t="s">
        <v>387</v>
      </c>
      <c r="D50" s="30" t="s">
        <v>388</v>
      </c>
      <c r="E50" s="111"/>
      <c r="F50" s="111"/>
      <c r="G50" s="30" t="n">
        <v>3</v>
      </c>
      <c r="H50" s="57"/>
      <c r="I50" s="115"/>
      <c r="J50" s="114" t="s">
        <v>389</v>
      </c>
      <c r="K50" s="114"/>
      <c r="M50" s="103"/>
    </row>
    <row r="51" customFormat="false" ht="12.8" hidden="false" customHeight="false" outlineLevel="0" collapsed="false">
      <c r="A51" s="103"/>
      <c r="B51" s="0" t="n">
        <f aca="false">B50+1</f>
        <v>40</v>
      </c>
      <c r="C51" s="30" t="s">
        <v>390</v>
      </c>
      <c r="D51" s="30" t="s">
        <v>320</v>
      </c>
      <c r="E51" s="111"/>
      <c r="F51" s="111"/>
      <c r="G51" s="30" t="n">
        <v>1</v>
      </c>
      <c r="H51" s="57"/>
      <c r="I51" s="115" t="s">
        <v>391</v>
      </c>
      <c r="J51" s="114" t="s">
        <v>321</v>
      </c>
      <c r="K51" s="114"/>
      <c r="M51" s="103"/>
    </row>
    <row r="52" customFormat="false" ht="12.8" hidden="false" customHeight="false" outlineLevel="0" collapsed="false">
      <c r="A52" s="103"/>
      <c r="B52" s="0" t="n">
        <f aca="false">B51+1</f>
        <v>41</v>
      </c>
      <c r="C52" s="30" t="s">
        <v>392</v>
      </c>
      <c r="D52" s="30" t="s">
        <v>393</v>
      </c>
      <c r="E52" s="111"/>
      <c r="F52" s="111"/>
      <c r="G52" s="30" t="n">
        <v>0</v>
      </c>
      <c r="H52" s="57"/>
      <c r="I52" s="115" t="s">
        <v>394</v>
      </c>
      <c r="J52" s="114" t="s">
        <v>395</v>
      </c>
      <c r="K52" s="114"/>
      <c r="M52" s="103"/>
    </row>
    <row r="53" customFormat="false" ht="12.8" hidden="false" customHeight="false" outlineLevel="0" collapsed="false">
      <c r="A53" s="103"/>
      <c r="B53" s="0" t="n">
        <f aca="false">B52+1</f>
        <v>42</v>
      </c>
      <c r="C53" s="30" t="s">
        <v>396</v>
      </c>
      <c r="D53" s="30" t="s">
        <v>397</v>
      </c>
      <c r="E53" s="111"/>
      <c r="F53" s="57"/>
      <c r="G53" s="30" t="n">
        <v>0</v>
      </c>
      <c r="H53" s="57" t="s">
        <v>251</v>
      </c>
      <c r="I53" s="115" t="s">
        <v>398</v>
      </c>
      <c r="J53" s="114" t="s">
        <v>399</v>
      </c>
      <c r="K53" s="114" t="s">
        <v>400</v>
      </c>
      <c r="L53" s="0" t="s">
        <v>401</v>
      </c>
      <c r="M53" s="103"/>
    </row>
    <row r="54" customFormat="false" ht="12.8" hidden="false" customHeight="false" outlineLevel="0" collapsed="false">
      <c r="A54" s="103"/>
      <c r="B54" s="0" t="n">
        <f aca="false">B53+1</f>
        <v>43</v>
      </c>
      <c r="C54" s="30" t="s">
        <v>402</v>
      </c>
      <c r="D54" s="30" t="s">
        <v>403</v>
      </c>
      <c r="E54" s="111"/>
      <c r="F54" s="111"/>
      <c r="G54" s="30" t="n">
        <v>1</v>
      </c>
      <c r="H54" s="57"/>
      <c r="I54" s="115" t="s">
        <v>404</v>
      </c>
      <c r="J54" s="114" t="s">
        <v>405</v>
      </c>
      <c r="K54" s="114" t="s">
        <v>406</v>
      </c>
      <c r="L54" s="0" t="s">
        <v>407</v>
      </c>
      <c r="M54" s="103"/>
    </row>
    <row r="55" customFormat="false" ht="12.8" hidden="false" customHeight="true" outlineLevel="0" collapsed="false">
      <c r="A55" s="103"/>
      <c r="B55" s="0" t="n">
        <f aca="false">B54+1</f>
        <v>44</v>
      </c>
      <c r="C55" s="30" t="s">
        <v>408</v>
      </c>
      <c r="D55" s="30" t="s">
        <v>327</v>
      </c>
      <c r="E55" s="111" t="n">
        <v>13</v>
      </c>
      <c r="F55" s="121" t="n">
        <v>0</v>
      </c>
      <c r="G55" s="124"/>
      <c r="H55" s="125" t="s">
        <v>409</v>
      </c>
      <c r="I55" s="115" t="s">
        <v>410</v>
      </c>
      <c r="J55" s="114" t="s">
        <v>411</v>
      </c>
      <c r="K55" s="114" t="s">
        <v>254</v>
      </c>
      <c r="M55" s="103"/>
    </row>
    <row r="56" customFormat="false" ht="12.8" hidden="false" customHeight="false" outlineLevel="0" collapsed="false">
      <c r="A56" s="103"/>
      <c r="B56" s="0" t="n">
        <f aca="false">B55+1</f>
        <v>45</v>
      </c>
      <c r="C56" s="30" t="s">
        <v>412</v>
      </c>
      <c r="D56" s="30" t="s">
        <v>339</v>
      </c>
      <c r="E56" s="111"/>
      <c r="F56" s="121" t="n">
        <v>2</v>
      </c>
      <c r="G56" s="124"/>
      <c r="H56" s="125"/>
      <c r="I56" s="115" t="s">
        <v>413</v>
      </c>
      <c r="J56" s="114" t="s">
        <v>414</v>
      </c>
      <c r="K56" s="114" t="s">
        <v>254</v>
      </c>
      <c r="M56" s="103"/>
    </row>
    <row r="57" customFormat="false" ht="12.8" hidden="false" customHeight="false" outlineLevel="0" collapsed="false">
      <c r="A57" s="103"/>
      <c r="B57" s="0" t="n">
        <f aca="false">B56+1</f>
        <v>46</v>
      </c>
      <c r="C57" s="30" t="s">
        <v>415</v>
      </c>
      <c r="D57" s="30" t="s">
        <v>327</v>
      </c>
      <c r="E57" s="111"/>
      <c r="F57" s="121" t="n">
        <v>1</v>
      </c>
      <c r="G57" s="124"/>
      <c r="H57" s="57" t="s">
        <v>328</v>
      </c>
      <c r="I57" s="115" t="s">
        <v>416</v>
      </c>
      <c r="J57" s="114" t="s">
        <v>417</v>
      </c>
      <c r="K57" s="114"/>
      <c r="M57" s="103"/>
    </row>
    <row r="58" customFormat="false" ht="12.8" hidden="false" customHeight="false" outlineLevel="0" collapsed="false">
      <c r="A58" s="103"/>
      <c r="B58" s="0" t="n">
        <f aca="false">B57+1</f>
        <v>47</v>
      </c>
      <c r="C58" s="30" t="s">
        <v>418</v>
      </c>
      <c r="D58" s="30" t="s">
        <v>339</v>
      </c>
      <c r="E58" s="111"/>
      <c r="F58" s="121" t="n">
        <v>3</v>
      </c>
      <c r="G58" s="126"/>
      <c r="H58" s="57"/>
      <c r="I58" s="115"/>
      <c r="J58" s="114" t="s">
        <v>419</v>
      </c>
      <c r="K58" s="114"/>
      <c r="M58" s="103"/>
    </row>
    <row r="59" customFormat="false" ht="12.8" hidden="false" customHeight="true" outlineLevel="0" collapsed="false">
      <c r="A59" s="103"/>
      <c r="B59" s="0" t="n">
        <f aca="false">B58+1</f>
        <v>48</v>
      </c>
      <c r="C59" s="30" t="s">
        <v>420</v>
      </c>
      <c r="D59" s="30" t="s">
        <v>421</v>
      </c>
      <c r="E59" s="111" t="n">
        <v>14</v>
      </c>
      <c r="F59" s="111" t="n">
        <v>0</v>
      </c>
      <c r="G59" s="30" t="n">
        <v>0</v>
      </c>
      <c r="H59" s="125" t="s">
        <v>422</v>
      </c>
      <c r="I59" s="115"/>
      <c r="J59" s="114" t="s">
        <v>423</v>
      </c>
      <c r="K59" s="114" t="s">
        <v>424</v>
      </c>
      <c r="L59" s="0" t="s">
        <v>425</v>
      </c>
      <c r="M59" s="103"/>
    </row>
    <row r="60" customFormat="false" ht="12.8" hidden="false" customHeight="false" outlineLevel="0" collapsed="false">
      <c r="A60" s="103"/>
      <c r="B60" s="0" t="n">
        <f aca="false">B59+1</f>
        <v>49</v>
      </c>
      <c r="C60" s="30" t="s">
        <v>426</v>
      </c>
      <c r="D60" s="30" t="s">
        <v>427</v>
      </c>
      <c r="E60" s="111"/>
      <c r="F60" s="111"/>
      <c r="G60" s="30" t="n">
        <v>1</v>
      </c>
      <c r="H60" s="125"/>
      <c r="I60" s="115"/>
      <c r="J60" s="114" t="s">
        <v>428</v>
      </c>
      <c r="K60" s="114" t="s">
        <v>429</v>
      </c>
      <c r="L60" s="0" t="s">
        <v>430</v>
      </c>
      <c r="M60" s="103"/>
    </row>
    <row r="61" customFormat="false" ht="12.8" hidden="false" customHeight="false" outlineLevel="0" collapsed="false">
      <c r="A61" s="103"/>
      <c r="B61" s="0" t="n">
        <f aca="false">B60+1</f>
        <v>50</v>
      </c>
      <c r="C61" s="30" t="s">
        <v>431</v>
      </c>
      <c r="D61" s="30" t="s">
        <v>432</v>
      </c>
      <c r="E61" s="111"/>
      <c r="F61" s="111"/>
      <c r="G61" s="30" t="n">
        <v>2</v>
      </c>
      <c r="H61" s="57" t="s">
        <v>282</v>
      </c>
      <c r="I61" s="115"/>
      <c r="J61" s="114" t="s">
        <v>433</v>
      </c>
      <c r="K61" s="114" t="s">
        <v>254</v>
      </c>
      <c r="M61" s="103"/>
    </row>
    <row r="62" customFormat="false" ht="12.8" hidden="false" customHeight="false" outlineLevel="0" collapsed="false">
      <c r="A62" s="103"/>
      <c r="B62" s="0" t="n">
        <f aca="false">B61+1</f>
        <v>51</v>
      </c>
      <c r="C62" s="30" t="s">
        <v>434</v>
      </c>
      <c r="D62" s="30" t="s">
        <v>435</v>
      </c>
      <c r="E62" s="111"/>
      <c r="F62" s="111"/>
      <c r="G62" s="30" t="n">
        <v>3</v>
      </c>
      <c r="H62" s="57"/>
      <c r="I62" s="115"/>
      <c r="J62" s="114" t="s">
        <v>436</v>
      </c>
      <c r="K62" s="114" t="s">
        <v>254</v>
      </c>
      <c r="L62" s="0" t="s">
        <v>437</v>
      </c>
      <c r="M62" s="103"/>
    </row>
    <row r="63" customFormat="false" ht="12.8" hidden="false" customHeight="false" outlineLevel="0" collapsed="false">
      <c r="A63" s="103"/>
      <c r="B63" s="0" t="n">
        <f aca="false">B62+1</f>
        <v>52</v>
      </c>
      <c r="C63" s="30" t="s">
        <v>438</v>
      </c>
      <c r="D63" s="30" t="s">
        <v>439</v>
      </c>
      <c r="E63" s="111"/>
      <c r="F63" s="111" t="n">
        <v>1</v>
      </c>
      <c r="G63" s="116" t="n">
        <v>0</v>
      </c>
      <c r="H63" s="57" t="s">
        <v>251</v>
      </c>
      <c r="I63" s="115"/>
      <c r="J63" s="114" t="s">
        <v>440</v>
      </c>
      <c r="K63" s="114" t="s">
        <v>441</v>
      </c>
      <c r="L63" s="0" t="s">
        <v>442</v>
      </c>
      <c r="M63" s="103"/>
    </row>
    <row r="64" customFormat="false" ht="12.8" hidden="false" customHeight="false" outlineLevel="0" collapsed="false">
      <c r="A64" s="103"/>
      <c r="B64" s="0" t="n">
        <f aca="false">B63+1</f>
        <v>53</v>
      </c>
      <c r="C64" s="30" t="s">
        <v>443</v>
      </c>
      <c r="D64" s="30" t="s">
        <v>444</v>
      </c>
      <c r="E64" s="111"/>
      <c r="F64" s="111"/>
      <c r="G64" s="116"/>
      <c r="H64" s="57"/>
      <c r="I64" s="115"/>
      <c r="J64" s="114" t="s">
        <v>445</v>
      </c>
      <c r="K64" s="114" t="s">
        <v>441</v>
      </c>
      <c r="L64" s="0" t="s">
        <v>446</v>
      </c>
      <c r="M64" s="103"/>
    </row>
    <row r="65" customFormat="false" ht="12.8" hidden="false" customHeight="false" outlineLevel="0" collapsed="false">
      <c r="A65" s="103"/>
      <c r="B65" s="0" t="n">
        <f aca="false">B64+1</f>
        <v>54</v>
      </c>
      <c r="C65" s="30" t="s">
        <v>447</v>
      </c>
      <c r="D65" s="30" t="s">
        <v>448</v>
      </c>
      <c r="E65" s="111"/>
      <c r="F65" s="111"/>
      <c r="G65" s="111" t="n">
        <v>2</v>
      </c>
      <c r="H65" s="57"/>
      <c r="I65" s="115"/>
      <c r="J65" s="114" t="s">
        <v>449</v>
      </c>
      <c r="K65" s="114" t="s">
        <v>441</v>
      </c>
      <c r="L65" s="0" t="s">
        <v>450</v>
      </c>
      <c r="M65" s="103"/>
    </row>
    <row r="66" customFormat="false" ht="12.8" hidden="false" customHeight="false" outlineLevel="0" collapsed="false">
      <c r="A66" s="103"/>
      <c r="B66" s="0" t="n">
        <f aca="false">B65+1</f>
        <v>55</v>
      </c>
      <c r="C66" s="30" t="s">
        <v>451</v>
      </c>
      <c r="D66" s="30" t="s">
        <v>452</v>
      </c>
      <c r="E66" s="111"/>
      <c r="F66" s="111"/>
      <c r="G66" s="111"/>
      <c r="H66" s="111"/>
      <c r="I66" s="115"/>
      <c r="J66" s="114" t="s">
        <v>453</v>
      </c>
      <c r="K66" s="114" t="s">
        <v>441</v>
      </c>
      <c r="L66" s="0" t="s">
        <v>454</v>
      </c>
      <c r="M66" s="103"/>
    </row>
    <row r="67" customFormat="false" ht="12.8" hidden="false" customHeight="false" outlineLevel="0" collapsed="false">
      <c r="A67" s="103"/>
      <c r="B67" s="0" t="n">
        <f aca="false">B66+1</f>
        <v>56</v>
      </c>
      <c r="C67" s="30" t="s">
        <v>455</v>
      </c>
      <c r="D67" s="30" t="s">
        <v>456</v>
      </c>
      <c r="E67" s="111"/>
      <c r="F67" s="111"/>
      <c r="G67" s="111" t="n">
        <v>3</v>
      </c>
      <c r="H67" s="57"/>
      <c r="I67" s="115"/>
      <c r="J67" s="114" t="s">
        <v>457</v>
      </c>
      <c r="K67" s="114" t="s">
        <v>441</v>
      </c>
      <c r="L67" s="0" t="s">
        <v>458</v>
      </c>
      <c r="M67" s="103"/>
    </row>
    <row r="68" customFormat="false" ht="12.8" hidden="false" customHeight="false" outlineLevel="0" collapsed="false">
      <c r="A68" s="103"/>
      <c r="B68" s="0" t="n">
        <f aca="false">B67+1</f>
        <v>57</v>
      </c>
      <c r="C68" s="30" t="s">
        <v>459</v>
      </c>
      <c r="D68" s="30" t="s">
        <v>460</v>
      </c>
      <c r="E68" s="111"/>
      <c r="F68" s="111"/>
      <c r="G68" s="111"/>
      <c r="H68" s="57"/>
      <c r="I68" s="115"/>
      <c r="J68" s="114" t="s">
        <v>461</v>
      </c>
      <c r="K68" s="114" t="s">
        <v>441</v>
      </c>
      <c r="L68" s="0" t="s">
        <v>462</v>
      </c>
      <c r="M68" s="103"/>
    </row>
    <row r="69" customFormat="false" ht="12.8" hidden="false" customHeight="true" outlineLevel="0" collapsed="false">
      <c r="A69" s="103"/>
      <c r="B69" s="0" t="n">
        <f aca="false">B68+1</f>
        <v>58</v>
      </c>
      <c r="C69" s="30" t="s">
        <v>463</v>
      </c>
      <c r="D69" s="30" t="s">
        <v>464</v>
      </c>
      <c r="E69" s="111" t="n">
        <v>8</v>
      </c>
      <c r="F69" s="111" t="n">
        <v>2</v>
      </c>
      <c r="G69" s="30" t="n">
        <v>0</v>
      </c>
      <c r="H69" s="125" t="s">
        <v>465</v>
      </c>
      <c r="I69" s="115"/>
      <c r="J69" s="114" t="s">
        <v>1283</v>
      </c>
      <c r="K69" s="114" t="s">
        <v>184</v>
      </c>
      <c r="L69" s="0" t="s">
        <v>467</v>
      </c>
      <c r="M69" s="103"/>
    </row>
    <row r="70" customFormat="false" ht="12.8" hidden="false" customHeight="false" outlineLevel="0" collapsed="false">
      <c r="A70" s="103"/>
      <c r="B70" s="0" t="n">
        <f aca="false">B69+1</f>
        <v>59</v>
      </c>
      <c r="C70" s="30" t="s">
        <v>468</v>
      </c>
      <c r="D70" s="30" t="s">
        <v>469</v>
      </c>
      <c r="E70" s="111"/>
      <c r="F70" s="111"/>
      <c r="G70" s="30" t="n">
        <v>2</v>
      </c>
      <c r="H70" s="125"/>
      <c r="I70" s="115"/>
      <c r="J70" s="114" t="s">
        <v>1284</v>
      </c>
      <c r="K70" s="114" t="s">
        <v>471</v>
      </c>
      <c r="L70" s="0" t="s">
        <v>472</v>
      </c>
      <c r="M70" s="103"/>
    </row>
    <row r="71" customFormat="false" ht="12.8" hidden="false" customHeight="false" outlineLevel="0" collapsed="false">
      <c r="A71" s="103"/>
      <c r="B71" s="0" t="n">
        <f aca="false">B70+1</f>
        <v>60</v>
      </c>
      <c r="C71" s="30" t="s">
        <v>473</v>
      </c>
      <c r="D71" s="30" t="s">
        <v>474</v>
      </c>
      <c r="E71" s="111"/>
      <c r="F71" s="111"/>
      <c r="G71" s="30" t="n">
        <v>3</v>
      </c>
      <c r="H71" s="125"/>
      <c r="I71" s="115"/>
      <c r="J71" s="114" t="s">
        <v>1285</v>
      </c>
      <c r="K71" s="114" t="s">
        <v>471</v>
      </c>
      <c r="L71" s="0" t="s">
        <v>476</v>
      </c>
      <c r="M71" s="103"/>
    </row>
    <row r="72" customFormat="false" ht="12.8" hidden="false" customHeight="false" outlineLevel="0" collapsed="false">
      <c r="A72" s="103"/>
      <c r="B72" s="0" t="n">
        <f aca="false">B71+1</f>
        <v>61</v>
      </c>
      <c r="C72" s="30" t="s">
        <v>477</v>
      </c>
      <c r="D72" s="30" t="s">
        <v>478</v>
      </c>
      <c r="E72" s="111"/>
      <c r="F72" s="111"/>
      <c r="G72" s="30" t="n">
        <v>4</v>
      </c>
      <c r="H72" s="125"/>
      <c r="I72" s="115"/>
      <c r="J72" s="114" t="s">
        <v>1286</v>
      </c>
      <c r="K72" s="114" t="s">
        <v>471</v>
      </c>
      <c r="M72" s="103"/>
    </row>
    <row r="73" customFormat="false" ht="12.8" hidden="false" customHeight="false" outlineLevel="0" collapsed="false">
      <c r="A73" s="103"/>
      <c r="B73" s="0" t="n">
        <f aca="false">B72+1</f>
        <v>62</v>
      </c>
      <c r="C73" s="30" t="s">
        <v>480</v>
      </c>
      <c r="D73" s="30" t="s">
        <v>481</v>
      </c>
      <c r="E73" s="111"/>
      <c r="F73" s="111"/>
      <c r="G73" s="30" t="n">
        <v>5</v>
      </c>
      <c r="H73" s="125"/>
      <c r="I73" s="115"/>
      <c r="J73" s="114" t="s">
        <v>1287</v>
      </c>
      <c r="K73" s="114" t="s">
        <v>471</v>
      </c>
      <c r="M73" s="103"/>
    </row>
    <row r="74" customFormat="false" ht="12.8" hidden="false" customHeight="true" outlineLevel="0" collapsed="false">
      <c r="A74" s="103"/>
      <c r="B74" s="0" t="n">
        <f aca="false">B73+1</f>
        <v>63</v>
      </c>
      <c r="C74" s="30" t="s">
        <v>1320</v>
      </c>
      <c r="D74" s="30" t="s">
        <v>1321</v>
      </c>
      <c r="E74" s="111"/>
      <c r="F74" s="111"/>
      <c r="G74" s="30" t="n">
        <v>6</v>
      </c>
      <c r="H74" s="125" t="s">
        <v>422</v>
      </c>
      <c r="I74" s="115"/>
      <c r="J74" s="114" t="s">
        <v>1288</v>
      </c>
      <c r="K74" s="114" t="s">
        <v>471</v>
      </c>
      <c r="M74" s="103"/>
    </row>
    <row r="75" customFormat="false" ht="12.8" hidden="false" customHeight="false" outlineLevel="0" collapsed="false">
      <c r="A75" s="103"/>
      <c r="B75" s="0" t="n">
        <f aca="false">B74+1</f>
        <v>64</v>
      </c>
      <c r="C75" s="30" t="s">
        <v>1322</v>
      </c>
      <c r="D75" s="30" t="s">
        <v>1323</v>
      </c>
      <c r="E75" s="111"/>
      <c r="F75" s="111"/>
      <c r="G75" s="30" t="n">
        <v>8</v>
      </c>
      <c r="H75" s="125"/>
      <c r="I75" s="115"/>
      <c r="J75" s="114" t="s">
        <v>1290</v>
      </c>
      <c r="K75" s="114" t="s">
        <v>471</v>
      </c>
      <c r="L75" s="0" t="s">
        <v>493</v>
      </c>
      <c r="M75" s="103"/>
    </row>
    <row r="76" customFormat="false" ht="12.8" hidden="false" customHeight="false" outlineLevel="0" collapsed="false">
      <c r="A76" s="103"/>
      <c r="B76" s="0" t="n">
        <f aca="false">B75+1</f>
        <v>65</v>
      </c>
      <c r="C76" s="30" t="s">
        <v>1324</v>
      </c>
      <c r="D76" s="30" t="s">
        <v>1325</v>
      </c>
      <c r="E76" s="111"/>
      <c r="F76" s="111"/>
      <c r="G76" s="30" t="n">
        <v>10</v>
      </c>
      <c r="H76" s="125"/>
      <c r="I76" s="115"/>
      <c r="J76" s="114" t="s">
        <v>1292</v>
      </c>
      <c r="K76" s="114" t="s">
        <v>471</v>
      </c>
      <c r="L76" s="0" t="s">
        <v>497</v>
      </c>
      <c r="M76" s="103"/>
    </row>
    <row r="77" customFormat="false" ht="12.8" hidden="false" customHeight="true" outlineLevel="0" collapsed="false">
      <c r="A77" s="103"/>
      <c r="B77" s="0" t="n">
        <f aca="false">B76+1</f>
        <v>66</v>
      </c>
      <c r="C77" s="30" t="s">
        <v>500</v>
      </c>
      <c r="D77" s="30" t="s">
        <v>501</v>
      </c>
      <c r="E77" s="111"/>
      <c r="F77" s="111"/>
      <c r="G77" s="30" t="n">
        <v>12</v>
      </c>
      <c r="H77" s="125" t="s">
        <v>465</v>
      </c>
      <c r="I77" s="115"/>
      <c r="J77" s="114" t="s">
        <v>1294</v>
      </c>
      <c r="K77" s="114" t="s">
        <v>471</v>
      </c>
      <c r="L77" s="0" t="s">
        <v>503</v>
      </c>
      <c r="M77" s="103"/>
    </row>
    <row r="78" customFormat="false" ht="12.8" hidden="false" customHeight="false" outlineLevel="0" collapsed="false">
      <c r="A78" s="103"/>
      <c r="B78" s="0" t="n">
        <f aca="false">B77+1</f>
        <v>67</v>
      </c>
      <c r="C78" s="30" t="s">
        <v>504</v>
      </c>
      <c r="D78" s="30" t="s">
        <v>505</v>
      </c>
      <c r="E78" s="111"/>
      <c r="F78" s="111"/>
      <c r="G78" s="30" t="n">
        <v>13</v>
      </c>
      <c r="H78" s="125"/>
      <c r="I78" s="115"/>
      <c r="J78" s="114" t="s">
        <v>1295</v>
      </c>
      <c r="K78" s="114" t="s">
        <v>471</v>
      </c>
      <c r="L78" s="0" t="s">
        <v>506</v>
      </c>
      <c r="M78" s="103"/>
    </row>
    <row r="79" customFormat="false" ht="12.8" hidden="false" customHeight="false" outlineLevel="0" collapsed="false">
      <c r="A79" s="103"/>
      <c r="B79" s="0" t="n">
        <f aca="false">B78+1</f>
        <v>68</v>
      </c>
      <c r="C79" s="30" t="s">
        <v>507</v>
      </c>
      <c r="D79" s="30" t="s">
        <v>508</v>
      </c>
      <c r="E79" s="111"/>
      <c r="F79" s="111"/>
      <c r="G79" s="30" t="n">
        <v>14</v>
      </c>
      <c r="H79" s="125"/>
      <c r="I79" s="115"/>
      <c r="J79" s="114" t="s">
        <v>1296</v>
      </c>
      <c r="K79" s="114" t="s">
        <v>471</v>
      </c>
      <c r="M79" s="103"/>
    </row>
    <row r="80" customFormat="false" ht="12.8" hidden="false" customHeight="false" outlineLevel="0" collapsed="false">
      <c r="A80" s="103"/>
      <c r="B80" s="0" t="n">
        <f aca="false">B79+1</f>
        <v>69</v>
      </c>
      <c r="C80" s="30" t="s">
        <v>509</v>
      </c>
      <c r="D80" s="30" t="s">
        <v>510</v>
      </c>
      <c r="E80" s="111"/>
      <c r="F80" s="111"/>
      <c r="G80" s="30" t="n">
        <v>15</v>
      </c>
      <c r="H80" s="125"/>
      <c r="I80" s="115"/>
      <c r="J80" s="114" t="s">
        <v>1297</v>
      </c>
      <c r="K80" s="114" t="s">
        <v>471</v>
      </c>
      <c r="M80" s="103"/>
    </row>
    <row r="81" customFormat="false" ht="12.8" hidden="false" customHeight="true" outlineLevel="0" collapsed="false">
      <c r="A81" s="103"/>
      <c r="B81" s="0" t="n">
        <f aca="false">B80+1</f>
        <v>70</v>
      </c>
      <c r="C81" s="30" t="s">
        <v>511</v>
      </c>
      <c r="D81" s="30" t="s">
        <v>512</v>
      </c>
      <c r="E81" s="111"/>
      <c r="F81" s="111" t="n">
        <v>3</v>
      </c>
      <c r="G81" s="30" t="n">
        <v>0</v>
      </c>
      <c r="H81" s="125" t="s">
        <v>465</v>
      </c>
      <c r="I81" s="115"/>
      <c r="J81" s="114" t="s">
        <v>513</v>
      </c>
      <c r="K81" s="114" t="s">
        <v>471</v>
      </c>
      <c r="L81" s="0" t="s">
        <v>514</v>
      </c>
      <c r="M81" s="103"/>
    </row>
    <row r="82" customFormat="false" ht="12.8" hidden="false" customHeight="false" outlineLevel="0" collapsed="false">
      <c r="A82" s="103"/>
      <c r="B82" s="0" t="n">
        <f aca="false">B81+1</f>
        <v>71</v>
      </c>
      <c r="C82" s="30" t="s">
        <v>515</v>
      </c>
      <c r="D82" s="30" t="s">
        <v>516</v>
      </c>
      <c r="E82" s="111"/>
      <c r="F82" s="111"/>
      <c r="G82" s="30" t="n">
        <v>1</v>
      </c>
      <c r="H82" s="125"/>
      <c r="I82" s="127"/>
      <c r="J82" s="114" t="s">
        <v>517</v>
      </c>
      <c r="K82" s="114" t="s">
        <v>471</v>
      </c>
      <c r="L82" s="0" t="s">
        <v>518</v>
      </c>
      <c r="M82" s="103"/>
    </row>
    <row r="83" customFormat="false" ht="12.8" hidden="false" customHeight="false" outlineLevel="0" collapsed="false">
      <c r="A83" s="103"/>
      <c r="B83" s="0" t="n">
        <f aca="false">B82+1</f>
        <v>72</v>
      </c>
      <c r="C83" s="30" t="s">
        <v>519</v>
      </c>
      <c r="D83" s="30" t="s">
        <v>520</v>
      </c>
      <c r="E83" s="111"/>
      <c r="F83" s="111"/>
      <c r="G83" s="30" t="n">
        <v>2</v>
      </c>
      <c r="H83" s="125"/>
      <c r="I83" s="115"/>
      <c r="J83" s="114" t="s">
        <v>521</v>
      </c>
      <c r="K83" s="114" t="s">
        <v>471</v>
      </c>
      <c r="L83" s="0" t="s">
        <v>522</v>
      </c>
      <c r="M83" s="103"/>
    </row>
    <row r="84" customFormat="false" ht="12.8" hidden="false" customHeight="false" outlineLevel="0" collapsed="false">
      <c r="A84" s="103"/>
      <c r="B84" s="0" t="n">
        <f aca="false">B83+1</f>
        <v>73</v>
      </c>
      <c r="C84" s="30" t="s">
        <v>523</v>
      </c>
      <c r="D84" s="30" t="s">
        <v>524</v>
      </c>
      <c r="E84" s="111"/>
      <c r="F84" s="111"/>
      <c r="G84" s="30" t="n">
        <v>3</v>
      </c>
      <c r="H84" s="125"/>
      <c r="I84" s="115"/>
      <c r="J84" s="114" t="s">
        <v>1274</v>
      </c>
      <c r="K84" s="114" t="s">
        <v>471</v>
      </c>
      <c r="M84" s="103"/>
    </row>
    <row r="85" customFormat="false" ht="12.8" hidden="false" customHeight="false" outlineLevel="0" collapsed="false">
      <c r="A85" s="103"/>
      <c r="B85" s="0" t="n">
        <f aca="false">B84+1</f>
        <v>74</v>
      </c>
      <c r="C85" s="30" t="s">
        <v>526</v>
      </c>
      <c r="D85" s="30" t="s">
        <v>527</v>
      </c>
      <c r="E85" s="111"/>
      <c r="F85" s="111"/>
      <c r="G85" s="30" t="n">
        <v>4</v>
      </c>
      <c r="H85" s="125"/>
      <c r="I85" s="115"/>
      <c r="J85" s="114" t="s">
        <v>1275</v>
      </c>
      <c r="K85" s="114" t="s">
        <v>471</v>
      </c>
      <c r="M85" s="103"/>
    </row>
    <row r="86" customFormat="false" ht="12.8" hidden="false" customHeight="false" outlineLevel="0" collapsed="false">
      <c r="A86" s="103"/>
      <c r="B86" s="0" t="n">
        <f aca="false">B85+1</f>
        <v>75</v>
      </c>
      <c r="C86" s="30" t="s">
        <v>529</v>
      </c>
      <c r="D86" s="30" t="s">
        <v>530</v>
      </c>
      <c r="E86" s="111"/>
      <c r="F86" s="111"/>
      <c r="G86" s="30" t="n">
        <v>5</v>
      </c>
      <c r="H86" s="125"/>
      <c r="I86" s="115"/>
      <c r="J86" s="114" t="s">
        <v>1276</v>
      </c>
      <c r="K86" s="114" t="s">
        <v>471</v>
      </c>
      <c r="M86" s="103"/>
    </row>
    <row r="87" customFormat="false" ht="12.8" hidden="false" customHeight="true" outlineLevel="0" collapsed="false">
      <c r="A87" s="103"/>
      <c r="B87" s="0" t="n">
        <f aca="false">B86+1</f>
        <v>76</v>
      </c>
      <c r="C87" s="30" t="s">
        <v>1326</v>
      </c>
      <c r="D87" s="30" t="s">
        <v>1327</v>
      </c>
      <c r="E87" s="111"/>
      <c r="F87" s="111"/>
      <c r="G87" s="30" t="n">
        <v>6</v>
      </c>
      <c r="H87" s="125" t="s">
        <v>422</v>
      </c>
      <c r="I87" s="115"/>
      <c r="J87" s="114" t="s">
        <v>1277</v>
      </c>
      <c r="K87" s="114" t="s">
        <v>471</v>
      </c>
      <c r="M87" s="103"/>
    </row>
    <row r="88" customFormat="false" ht="12.8" hidden="false" customHeight="false" outlineLevel="0" collapsed="false">
      <c r="A88" s="103"/>
      <c r="B88" s="0" t="n">
        <f aca="false">B87+1</f>
        <v>77</v>
      </c>
      <c r="C88" s="30" t="s">
        <v>1328</v>
      </c>
      <c r="D88" s="30" t="s">
        <v>1329</v>
      </c>
      <c r="E88" s="111"/>
      <c r="F88" s="111"/>
      <c r="G88" s="30" t="n">
        <v>8</v>
      </c>
      <c r="H88" s="125"/>
      <c r="I88" s="115"/>
      <c r="J88" s="114" t="s">
        <v>1279</v>
      </c>
      <c r="K88" s="114" t="s">
        <v>471</v>
      </c>
      <c r="M88" s="103"/>
    </row>
    <row r="89" customFormat="false" ht="12.8" hidden="false" customHeight="false" outlineLevel="0" collapsed="false">
      <c r="A89" s="103"/>
      <c r="B89" s="0" t="n">
        <f aca="false">B88+1</f>
        <v>78</v>
      </c>
      <c r="C89" s="30" t="s">
        <v>1330</v>
      </c>
      <c r="D89" s="30" t="s">
        <v>1331</v>
      </c>
      <c r="E89" s="111"/>
      <c r="F89" s="111"/>
      <c r="G89" s="30" t="n">
        <v>10</v>
      </c>
      <c r="H89" s="125"/>
      <c r="I89" s="115"/>
      <c r="J89" s="114" t="s">
        <v>538</v>
      </c>
      <c r="K89" s="114" t="s">
        <v>471</v>
      </c>
      <c r="M89" s="103"/>
    </row>
    <row r="90" customFormat="false" ht="12.8" hidden="false" customHeight="true" outlineLevel="0" collapsed="false">
      <c r="A90" s="103"/>
      <c r="B90" s="0" t="n">
        <f aca="false">B89+1</f>
        <v>79</v>
      </c>
      <c r="C90" s="30" t="s">
        <v>545</v>
      </c>
      <c r="D90" s="30" t="s">
        <v>546</v>
      </c>
      <c r="E90" s="111"/>
      <c r="F90" s="111"/>
      <c r="G90" s="30" t="n">
        <v>12</v>
      </c>
      <c r="H90" s="125" t="s">
        <v>465</v>
      </c>
      <c r="I90" s="115"/>
      <c r="J90" s="114" t="s">
        <v>513</v>
      </c>
      <c r="K90" s="114" t="s">
        <v>471</v>
      </c>
      <c r="L90" s="0" t="s">
        <v>514</v>
      </c>
      <c r="M90" s="103"/>
    </row>
    <row r="91" customFormat="false" ht="12.8" hidden="false" customHeight="false" outlineLevel="0" collapsed="false">
      <c r="A91" s="103"/>
      <c r="B91" s="0" t="n">
        <f aca="false">B90+1</f>
        <v>80</v>
      </c>
      <c r="C91" s="30" t="s">
        <v>547</v>
      </c>
      <c r="D91" s="30" t="s">
        <v>548</v>
      </c>
      <c r="E91" s="111"/>
      <c r="F91" s="111"/>
      <c r="G91" s="30" t="n">
        <v>13</v>
      </c>
      <c r="H91" s="125"/>
      <c r="I91" s="115"/>
      <c r="J91" s="114" t="s">
        <v>521</v>
      </c>
      <c r="K91" s="114" t="s">
        <v>471</v>
      </c>
      <c r="M91" s="103"/>
    </row>
    <row r="92" customFormat="false" ht="12.8" hidden="false" customHeight="false" outlineLevel="0" collapsed="false">
      <c r="A92" s="103"/>
      <c r="B92" s="0" t="n">
        <f aca="false">B91+1</f>
        <v>81</v>
      </c>
      <c r="C92" s="30" t="s">
        <v>549</v>
      </c>
      <c r="D92" s="30" t="s">
        <v>550</v>
      </c>
      <c r="E92" s="111"/>
      <c r="F92" s="111"/>
      <c r="G92" s="30" t="n">
        <v>14</v>
      </c>
      <c r="H92" s="125"/>
      <c r="I92" s="115"/>
      <c r="J92" s="114" t="s">
        <v>1281</v>
      </c>
      <c r="K92" s="114" t="s">
        <v>471</v>
      </c>
      <c r="M92" s="103"/>
    </row>
    <row r="93" customFormat="false" ht="12.8" hidden="false" customHeight="false" outlineLevel="0" collapsed="false">
      <c r="A93" s="103"/>
      <c r="B93" s="0" t="n">
        <f aca="false">B92+1</f>
        <v>82</v>
      </c>
      <c r="C93" s="30" t="s">
        <v>551</v>
      </c>
      <c r="D93" s="30" t="s">
        <v>552</v>
      </c>
      <c r="E93" s="111"/>
      <c r="F93" s="111"/>
      <c r="G93" s="30" t="n">
        <v>15</v>
      </c>
      <c r="H93" s="125"/>
      <c r="I93" s="115"/>
      <c r="J93" s="114" t="s">
        <v>1282</v>
      </c>
      <c r="K93" s="114" t="s">
        <v>471</v>
      </c>
      <c r="M93" s="103"/>
    </row>
    <row r="94" customFormat="false" ht="12.8" hidden="false" customHeight="false" outlineLevel="0" collapsed="false">
      <c r="A94" s="103"/>
      <c r="B94" s="0" t="n">
        <f aca="false">B93+1</f>
        <v>83</v>
      </c>
      <c r="C94" s="30" t="s">
        <v>553</v>
      </c>
      <c r="D94" s="30" t="s">
        <v>1269</v>
      </c>
      <c r="E94" s="111" t="n">
        <v>15</v>
      </c>
      <c r="F94" s="121" t="n">
        <v>0</v>
      </c>
      <c r="G94" s="128"/>
      <c r="H94" s="57" t="s">
        <v>554</v>
      </c>
      <c r="I94" s="115"/>
      <c r="J94" s="114" t="s">
        <v>555</v>
      </c>
      <c r="K94" s="114"/>
      <c r="M94" s="103"/>
    </row>
    <row r="95" customFormat="false" ht="12.8" hidden="false" customHeight="false" outlineLevel="0" collapsed="false">
      <c r="A95" s="103"/>
      <c r="B95" s="0" t="n">
        <f aca="false">B94+1</f>
        <v>84</v>
      </c>
      <c r="C95" s="30" t="s">
        <v>556</v>
      </c>
      <c r="D95" s="30" t="s">
        <v>557</v>
      </c>
      <c r="E95" s="111"/>
      <c r="F95" s="121" t="n">
        <v>1</v>
      </c>
      <c r="G95" s="124"/>
      <c r="H95" s="57"/>
      <c r="I95" s="115"/>
      <c r="J95" s="114" t="s">
        <v>558</v>
      </c>
      <c r="K95" s="114"/>
      <c r="M95" s="103"/>
    </row>
    <row r="96" customFormat="false" ht="12.8" hidden="false" customHeight="false" outlineLevel="0" collapsed="false">
      <c r="A96" s="103"/>
      <c r="B96" s="0" t="n">
        <f aca="false">B95+1</f>
        <v>85</v>
      </c>
      <c r="C96" s="30" t="s">
        <v>559</v>
      </c>
      <c r="D96" s="30" t="s">
        <v>560</v>
      </c>
      <c r="E96" s="111"/>
      <c r="F96" s="121" t="n">
        <v>2</v>
      </c>
      <c r="G96" s="124"/>
      <c r="H96" s="57"/>
      <c r="I96" s="115"/>
      <c r="J96" s="114" t="s">
        <v>561</v>
      </c>
      <c r="K96" s="114"/>
      <c r="M96" s="103"/>
    </row>
    <row r="97" customFormat="false" ht="12.8" hidden="false" customHeight="false" outlineLevel="0" collapsed="false">
      <c r="A97" s="103"/>
      <c r="B97" s="0" t="n">
        <f aca="false">B96+1</f>
        <v>86</v>
      </c>
      <c r="C97" s="30" t="s">
        <v>562</v>
      </c>
      <c r="D97" s="30" t="s">
        <v>563</v>
      </c>
      <c r="E97" s="111"/>
      <c r="F97" s="121" t="n">
        <v>3</v>
      </c>
      <c r="G97" s="124"/>
      <c r="H97" s="57"/>
      <c r="I97" s="115"/>
      <c r="J97" s="114" t="s">
        <v>564</v>
      </c>
      <c r="K97" s="114"/>
      <c r="M97" s="103"/>
    </row>
    <row r="98" customFormat="false" ht="12.8" hidden="false" customHeight="false" outlineLevel="0" collapsed="false">
      <c r="A98" s="103"/>
      <c r="B98" s="0" t="n">
        <f aca="false">B97+1</f>
        <v>87</v>
      </c>
      <c r="C98" s="30" t="s">
        <v>565</v>
      </c>
      <c r="D98" s="30" t="s">
        <v>566</v>
      </c>
      <c r="E98" s="111"/>
      <c r="F98" s="121" t="n">
        <v>4</v>
      </c>
      <c r="G98" s="124"/>
      <c r="H98" s="57" t="s">
        <v>328</v>
      </c>
      <c r="I98" s="115"/>
      <c r="J98" s="114" t="s">
        <v>567</v>
      </c>
      <c r="K98" s="114" t="s">
        <v>568</v>
      </c>
      <c r="M98" s="103"/>
    </row>
    <row r="99" customFormat="false" ht="12.8" hidden="false" customHeight="false" outlineLevel="0" collapsed="false">
      <c r="A99" s="103"/>
      <c r="B99" s="0" t="n">
        <f aca="false">B98+1</f>
        <v>88</v>
      </c>
      <c r="C99" s="30" t="s">
        <v>569</v>
      </c>
      <c r="D99" s="30" t="s">
        <v>570</v>
      </c>
      <c r="E99" s="111"/>
      <c r="F99" s="121" t="n">
        <v>5</v>
      </c>
      <c r="G99" s="124"/>
      <c r="H99" s="57"/>
      <c r="I99" s="115"/>
      <c r="J99" s="114" t="s">
        <v>571</v>
      </c>
      <c r="K99" s="114"/>
      <c r="M99" s="103"/>
    </row>
    <row r="100" customFormat="false" ht="12.8" hidden="false" customHeight="false" outlineLevel="0" collapsed="false">
      <c r="A100" s="103"/>
      <c r="B100" s="0" t="n">
        <f aca="false">B99+1</f>
        <v>89</v>
      </c>
      <c r="C100" s="30" t="s">
        <v>572</v>
      </c>
      <c r="D100" s="30" t="s">
        <v>573</v>
      </c>
      <c r="E100" s="111"/>
      <c r="F100" s="121" t="n">
        <v>7</v>
      </c>
      <c r="G100" s="126"/>
      <c r="H100" s="57"/>
      <c r="I100" s="129"/>
      <c r="J100" s="114" t="s">
        <v>574</v>
      </c>
      <c r="K100" s="114" t="s">
        <v>568</v>
      </c>
      <c r="M100" s="103"/>
    </row>
    <row r="101" customFormat="false" ht="12.8" hidden="false" customHeight="false" outlineLevel="0" collapsed="false">
      <c r="A101" s="103"/>
      <c r="M101" s="103"/>
    </row>
    <row r="102" customFormat="false" ht="35.05" hidden="false" customHeight="true" outlineLevel="0" collapsed="false">
      <c r="A102" s="103"/>
      <c r="C102" s="130" t="s">
        <v>575</v>
      </c>
      <c r="D102" s="130"/>
      <c r="E102" s="130"/>
      <c r="F102" s="130"/>
      <c r="G102" s="130"/>
      <c r="M102" s="103"/>
    </row>
    <row r="103" customFormat="false" ht="12.8" hidden="false" customHeight="false" outlineLevel="0" collapsed="false">
      <c r="A103" s="103"/>
      <c r="M103" s="103"/>
    </row>
    <row r="104" customFormat="false" ht="35.05" hidden="false" customHeight="true" outlineLevel="0" collapsed="false">
      <c r="A104" s="103"/>
      <c r="C104" s="130" t="s">
        <v>576</v>
      </c>
      <c r="D104" s="130"/>
      <c r="E104" s="130"/>
      <c r="F104" s="130"/>
      <c r="G104" s="130"/>
      <c r="M104" s="103"/>
    </row>
    <row r="105" customFormat="false" ht="12.8" hidden="false" customHeight="false" outlineLevel="0" collapsed="false">
      <c r="A105" s="103"/>
      <c r="M105" s="103"/>
    </row>
    <row r="106" customFormat="false" ht="35.05" hidden="false" customHeight="true" outlineLevel="0" collapsed="false">
      <c r="A106" s="103"/>
      <c r="C106" s="131" t="s">
        <v>577</v>
      </c>
      <c r="D106" s="131"/>
      <c r="E106" s="131"/>
      <c r="F106" s="131"/>
      <c r="G106" s="131"/>
      <c r="H106" s="131"/>
      <c r="M106" s="103"/>
    </row>
    <row r="107" customFormat="false" ht="35.05" hidden="false" customHeight="true" outlineLevel="0" collapsed="false">
      <c r="A107" s="103"/>
      <c r="C107" s="110" t="s">
        <v>578</v>
      </c>
      <c r="D107" s="132" t="s">
        <v>579</v>
      </c>
      <c r="E107" s="132"/>
      <c r="F107" s="132"/>
      <c r="G107" s="132"/>
      <c r="H107" s="132" t="s">
        <v>580</v>
      </c>
      <c r="I107" s="132"/>
      <c r="J107" s="132"/>
      <c r="K107" s="132"/>
      <c r="M107" s="103"/>
    </row>
    <row r="108" customFormat="false" ht="46.25" hidden="false" customHeight="true" outlineLevel="0" collapsed="false">
      <c r="A108" s="103"/>
      <c r="C108" s="110" t="s">
        <v>581</v>
      </c>
      <c r="D108" s="132" t="s">
        <v>582</v>
      </c>
      <c r="E108" s="132"/>
      <c r="F108" s="132"/>
      <c r="G108" s="132"/>
      <c r="H108" s="133" t="s">
        <v>583</v>
      </c>
      <c r="I108" s="133"/>
      <c r="J108" s="133"/>
      <c r="K108" s="133"/>
      <c r="M108" s="103"/>
    </row>
    <row r="109" customFormat="false" ht="23.85" hidden="false" customHeight="true" outlineLevel="0" collapsed="false">
      <c r="A109" s="103"/>
      <c r="C109" s="110" t="s">
        <v>584</v>
      </c>
      <c r="D109" s="132" t="s">
        <v>585</v>
      </c>
      <c r="E109" s="132"/>
      <c r="F109" s="132"/>
      <c r="G109" s="132"/>
      <c r="H109" s="132" t="s">
        <v>586</v>
      </c>
      <c r="I109" s="132"/>
      <c r="J109" s="132"/>
      <c r="K109" s="132"/>
      <c r="M109" s="103"/>
    </row>
    <row r="110" customFormat="false" ht="23.85" hidden="false" customHeight="true" outlineLevel="0" collapsed="false">
      <c r="A110" s="103"/>
      <c r="C110" s="110" t="s">
        <v>587</v>
      </c>
      <c r="D110" s="132" t="s">
        <v>588</v>
      </c>
      <c r="E110" s="132"/>
      <c r="F110" s="132"/>
      <c r="G110" s="132"/>
      <c r="H110" s="132" t="s">
        <v>589</v>
      </c>
      <c r="I110" s="132"/>
      <c r="J110" s="132"/>
      <c r="K110" s="132"/>
      <c r="M110" s="103"/>
    </row>
    <row r="111" customFormat="false" ht="23.85" hidden="false" customHeight="true" outlineLevel="0" collapsed="false">
      <c r="A111" s="103"/>
      <c r="C111" s="110" t="s">
        <v>590</v>
      </c>
      <c r="D111" s="132" t="s">
        <v>591</v>
      </c>
      <c r="E111" s="132"/>
      <c r="F111" s="132"/>
      <c r="G111" s="132"/>
      <c r="H111" s="132" t="s">
        <v>592</v>
      </c>
      <c r="I111" s="132"/>
      <c r="J111" s="132"/>
      <c r="K111" s="132"/>
      <c r="M111" s="103"/>
    </row>
    <row r="112" customFormat="false" ht="12.8" hidden="false" customHeight="false" outlineLevel="0" collapsed="false">
      <c r="A112" s="103"/>
      <c r="C112" s="134" t="s">
        <v>593</v>
      </c>
      <c r="D112" s="134"/>
      <c r="E112" s="134"/>
      <c r="F112" s="134"/>
      <c r="M112" s="103"/>
    </row>
    <row r="113" customFormat="false" ht="12.8" hidden="false" customHeight="false" outlineLevel="0" collapsed="false">
      <c r="A113" s="103"/>
      <c r="C113" s="0" t="s">
        <v>594</v>
      </c>
      <c r="M113" s="103"/>
    </row>
    <row r="114" customFormat="false" ht="12.8" hidden="false" customHeight="false" outlineLevel="0" collapsed="false">
      <c r="A114" s="103"/>
      <c r="C114" s="0" t="s">
        <v>595</v>
      </c>
      <c r="M114" s="103"/>
    </row>
    <row r="115" customFormat="false" ht="12.8" hidden="false" customHeight="false" outlineLevel="0" collapsed="false">
      <c r="A115" s="103"/>
      <c r="C115" s="134" t="s">
        <v>596</v>
      </c>
      <c r="D115" s="134"/>
      <c r="E115" s="134"/>
      <c r="F115" s="134"/>
      <c r="M115" s="103"/>
    </row>
    <row r="116" customFormat="false" ht="12.8" hidden="false" customHeight="false" outlineLevel="0" collapsed="false">
      <c r="A116" s="103"/>
      <c r="C116" s="0" t="s">
        <v>597</v>
      </c>
      <c r="M116" s="103"/>
    </row>
    <row r="117" customFormat="false" ht="12.8" hidden="false" customHeight="false" outlineLevel="0" collapsed="false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</row>
  </sheetData>
  <mergeCells count="91">
    <mergeCell ref="B2:K4"/>
    <mergeCell ref="B5:I6"/>
    <mergeCell ref="J5:J6"/>
    <mergeCell ref="K5:K6"/>
    <mergeCell ref="C8:G8"/>
    <mergeCell ref="D11:D12"/>
    <mergeCell ref="E11:E12"/>
    <mergeCell ref="F11:F26"/>
    <mergeCell ref="H11:H20"/>
    <mergeCell ref="D13:D14"/>
    <mergeCell ref="E13:E14"/>
    <mergeCell ref="D15:D16"/>
    <mergeCell ref="E15:E16"/>
    <mergeCell ref="D17:D18"/>
    <mergeCell ref="E17:E18"/>
    <mergeCell ref="D19:D20"/>
    <mergeCell ref="E19:E20"/>
    <mergeCell ref="D21:D22"/>
    <mergeCell ref="E21:E22"/>
    <mergeCell ref="H21:H26"/>
    <mergeCell ref="D23:D24"/>
    <mergeCell ref="E23:E24"/>
    <mergeCell ref="D25:D26"/>
    <mergeCell ref="E25:E26"/>
    <mergeCell ref="D27:D28"/>
    <mergeCell ref="E27:E29"/>
    <mergeCell ref="F27:F29"/>
    <mergeCell ref="G27:G28"/>
    <mergeCell ref="H27:H29"/>
    <mergeCell ref="J27:J28"/>
    <mergeCell ref="K27:K28"/>
    <mergeCell ref="L27:L28"/>
    <mergeCell ref="E30:E35"/>
    <mergeCell ref="F30:F35"/>
    <mergeCell ref="G30:G31"/>
    <mergeCell ref="H30:H33"/>
    <mergeCell ref="G32:G33"/>
    <mergeCell ref="G34:G35"/>
    <mergeCell ref="H34:H35"/>
    <mergeCell ref="E36:E46"/>
    <mergeCell ref="F36:F38"/>
    <mergeCell ref="G36:G37"/>
    <mergeCell ref="F39:F42"/>
    <mergeCell ref="H39:H42"/>
    <mergeCell ref="H43:H44"/>
    <mergeCell ref="F44:F46"/>
    <mergeCell ref="H45:H46"/>
    <mergeCell ref="E47:E54"/>
    <mergeCell ref="F47:F52"/>
    <mergeCell ref="H47:H52"/>
    <mergeCell ref="F53:F54"/>
    <mergeCell ref="H53:H54"/>
    <mergeCell ref="E55:E58"/>
    <mergeCell ref="H55:H56"/>
    <mergeCell ref="H57:H58"/>
    <mergeCell ref="E59:E68"/>
    <mergeCell ref="F59:F62"/>
    <mergeCell ref="H59:H60"/>
    <mergeCell ref="H61:H62"/>
    <mergeCell ref="F63:F68"/>
    <mergeCell ref="G63:G64"/>
    <mergeCell ref="H63:H68"/>
    <mergeCell ref="G65:G66"/>
    <mergeCell ref="G67:G68"/>
    <mergeCell ref="E69:E93"/>
    <mergeCell ref="F69:F80"/>
    <mergeCell ref="H69:H73"/>
    <mergeCell ref="H74:H76"/>
    <mergeCell ref="H77:H80"/>
    <mergeCell ref="F81:F93"/>
    <mergeCell ref="H81:H86"/>
    <mergeCell ref="H87:H89"/>
    <mergeCell ref="H90:H93"/>
    <mergeCell ref="E94:E100"/>
    <mergeCell ref="H94:H97"/>
    <mergeCell ref="H98:H100"/>
    <mergeCell ref="C102:G102"/>
    <mergeCell ref="C104:G104"/>
    <mergeCell ref="C106:H106"/>
    <mergeCell ref="D107:G107"/>
    <mergeCell ref="H107:K107"/>
    <mergeCell ref="D108:G108"/>
    <mergeCell ref="H108:K108"/>
    <mergeCell ref="D109:G109"/>
    <mergeCell ref="H109:K109"/>
    <mergeCell ref="D110:G110"/>
    <mergeCell ref="H110:K110"/>
    <mergeCell ref="D111:G111"/>
    <mergeCell ref="H111:K111"/>
    <mergeCell ref="C112:F112"/>
    <mergeCell ref="C115:F115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4" activeCellId="0" sqref="K5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75"/>
    <col collapsed="false" customWidth="true" hidden="false" outlineLevel="0" max="2" min="2" style="135" width="6.12"/>
    <col collapsed="false" customWidth="true" hidden="false" outlineLevel="0" max="3" min="3" style="0" width="24.2"/>
    <col collapsed="false" customWidth="true" hidden="false" outlineLevel="0" max="6" min="4" style="0" width="15.3"/>
    <col collapsed="false" customWidth="true" hidden="false" outlineLevel="0" max="7" min="7" style="0" width="4.31"/>
    <col collapsed="false" customWidth="true" hidden="false" outlineLevel="0" max="8" min="8" style="135" width="6.12"/>
    <col collapsed="false" customWidth="true" hidden="false" outlineLevel="0" max="9" min="9" style="0" width="24.2"/>
    <col collapsed="false" customWidth="true" hidden="false" outlineLevel="0" max="12" min="10" style="0" width="15.3"/>
    <col collapsed="false" customWidth="true" hidden="false" outlineLevel="0" max="13" min="13" style="0" width="4.31"/>
    <col collapsed="false" customWidth="true" hidden="false" outlineLevel="0" max="14" min="14" style="135" width="6.12"/>
    <col collapsed="false" customWidth="true" hidden="false" outlineLevel="0" max="15" min="15" style="0" width="24.2"/>
    <col collapsed="false" customWidth="true" hidden="false" outlineLevel="0" max="18" min="16" style="0" width="15.3"/>
    <col collapsed="false" customWidth="true" hidden="false" outlineLevel="0" max="19" min="19" style="0" width="4.45"/>
  </cols>
  <sheetData>
    <row r="1" customFormat="false" ht="12.8" hidden="false" customHeight="false" outlineLevel="0" collapsed="false">
      <c r="C1" s="136"/>
      <c r="D1" s="137"/>
      <c r="I1" s="136"/>
      <c r="J1" s="137"/>
      <c r="O1" s="136"/>
      <c r="P1" s="138"/>
    </row>
    <row r="2" customFormat="false" ht="12.8" hidden="false" customHeight="false" outlineLevel="0" collapsed="false">
      <c r="B2" s="107" t="s">
        <v>598</v>
      </c>
      <c r="C2" s="104" t="s">
        <v>599</v>
      </c>
      <c r="D2" s="104"/>
      <c r="E2" s="104"/>
      <c r="F2" s="104"/>
      <c r="H2" s="107" t="s">
        <v>598</v>
      </c>
      <c r="I2" s="104" t="s">
        <v>600</v>
      </c>
      <c r="J2" s="104"/>
      <c r="K2" s="104"/>
      <c r="L2" s="104"/>
      <c r="N2" s="107" t="s">
        <v>598</v>
      </c>
      <c r="O2" s="104" t="s">
        <v>601</v>
      </c>
      <c r="P2" s="104"/>
      <c r="Q2" s="104"/>
      <c r="R2" s="104"/>
    </row>
    <row r="3" customFormat="false" ht="12.8" hidden="false" customHeight="false" outlineLevel="0" collapsed="false">
      <c r="B3" s="139" t="n">
        <v>2</v>
      </c>
      <c r="C3" s="136" t="s">
        <v>602</v>
      </c>
      <c r="D3" s="137" t="s">
        <v>603</v>
      </c>
      <c r="E3" s="137"/>
      <c r="F3" s="137"/>
      <c r="H3" s="139" t="n">
        <v>6</v>
      </c>
      <c r="I3" s="136" t="s">
        <v>604</v>
      </c>
      <c r="J3" s="137" t="s">
        <v>605</v>
      </c>
      <c r="K3" s="137"/>
      <c r="L3" s="137"/>
      <c r="N3" s="139" t="n">
        <v>10</v>
      </c>
      <c r="O3" s="136" t="s">
        <v>606</v>
      </c>
      <c r="P3" s="138" t="s">
        <v>607</v>
      </c>
      <c r="Q3" s="138"/>
      <c r="R3" s="138"/>
    </row>
    <row r="4" customFormat="false" ht="12.8" hidden="false" customHeight="false" outlineLevel="0" collapsed="false">
      <c r="B4" s="139"/>
      <c r="D4" s="140" t="s">
        <v>608</v>
      </c>
      <c r="E4" s="140" t="s">
        <v>608</v>
      </c>
      <c r="F4" s="140" t="s">
        <v>608</v>
      </c>
      <c r="H4" s="139"/>
      <c r="J4" s="140" t="s">
        <v>608</v>
      </c>
      <c r="K4" s="140" t="s">
        <v>608</v>
      </c>
      <c r="L4" s="140"/>
      <c r="N4" s="139"/>
      <c r="P4" s="140" t="s">
        <v>608</v>
      </c>
      <c r="R4" s="140"/>
    </row>
    <row r="5" customFormat="false" ht="12.8" hidden="false" customHeight="false" outlineLevel="0" collapsed="false">
      <c r="B5" s="139"/>
      <c r="C5" s="141" t="s">
        <v>609</v>
      </c>
      <c r="D5" s="80" t="s">
        <v>610</v>
      </c>
      <c r="E5" s="80" t="s">
        <v>611</v>
      </c>
      <c r="F5" s="80" t="s">
        <v>612</v>
      </c>
      <c r="H5" s="139"/>
      <c r="I5" s="141" t="s">
        <v>609</v>
      </c>
      <c r="J5" s="80" t="s">
        <v>610</v>
      </c>
      <c r="K5" s="80" t="s">
        <v>611</v>
      </c>
      <c r="N5" s="139"/>
      <c r="O5" s="141" t="s">
        <v>609</v>
      </c>
      <c r="P5" s="80" t="s">
        <v>610</v>
      </c>
    </row>
    <row r="6" customFormat="false" ht="12.8" hidden="false" customHeight="false" outlineLevel="0" collapsed="false">
      <c r="B6" s="139"/>
      <c r="E6" s="140" t="s">
        <v>613</v>
      </c>
      <c r="F6" s="140"/>
      <c r="H6" s="139"/>
      <c r="K6" s="140" t="s">
        <v>613</v>
      </c>
      <c r="L6" s="140"/>
      <c r="N6" s="139"/>
      <c r="Q6" s="140" t="s">
        <v>613</v>
      </c>
      <c r="R6" s="140"/>
    </row>
    <row r="7" customFormat="false" ht="12.8" hidden="false" customHeight="false" outlineLevel="0" collapsed="false">
      <c r="B7" s="139"/>
      <c r="C7" s="141" t="s">
        <v>614</v>
      </c>
      <c r="E7" s="142" t="s">
        <v>615</v>
      </c>
      <c r="F7" s="142" t="s">
        <v>616</v>
      </c>
      <c r="H7" s="139"/>
      <c r="I7" s="141" t="s">
        <v>614</v>
      </c>
      <c r="K7" s="142" t="s">
        <v>617</v>
      </c>
      <c r="L7" s="142" t="s">
        <v>616</v>
      </c>
      <c r="N7" s="139"/>
      <c r="O7" s="141" t="s">
        <v>614</v>
      </c>
      <c r="P7" s="135"/>
      <c r="Q7" s="142" t="s">
        <v>618</v>
      </c>
      <c r="R7" s="142"/>
    </row>
    <row r="8" customFormat="false" ht="12.8" hidden="false" customHeight="false" outlineLevel="0" collapsed="false">
      <c r="B8" s="139"/>
      <c r="D8" s="135" t="s">
        <v>619</v>
      </c>
      <c r="E8" s="142" t="s">
        <v>620</v>
      </c>
      <c r="F8" s="142"/>
      <c r="H8" s="139"/>
      <c r="J8" s="135" t="s">
        <v>619</v>
      </c>
      <c r="K8" s="142" t="s">
        <v>620</v>
      </c>
      <c r="L8" s="142"/>
      <c r="N8" s="139"/>
      <c r="P8" s="135" t="s">
        <v>619</v>
      </c>
      <c r="Q8" s="142" t="s">
        <v>620</v>
      </c>
      <c r="R8" s="142"/>
    </row>
    <row r="9" customFormat="false" ht="12.8" hidden="false" customHeight="false" outlineLevel="0" collapsed="false">
      <c r="B9" s="139"/>
      <c r="H9" s="139"/>
    </row>
    <row r="10" customFormat="false" ht="12.8" hidden="false" customHeight="false" outlineLevel="0" collapsed="false">
      <c r="B10" s="139"/>
      <c r="C10" s="136" t="s">
        <v>621</v>
      </c>
      <c r="D10" s="137" t="s">
        <v>622</v>
      </c>
      <c r="E10" s="137"/>
      <c r="F10" s="137"/>
      <c r="H10" s="139"/>
      <c r="I10" s="136" t="s">
        <v>623</v>
      </c>
      <c r="J10" s="137" t="s">
        <v>624</v>
      </c>
      <c r="K10" s="137"/>
      <c r="L10" s="137"/>
      <c r="N10" s="139" t="n">
        <v>11</v>
      </c>
      <c r="O10" s="136" t="s">
        <v>625</v>
      </c>
      <c r="P10" s="138" t="s">
        <v>626</v>
      </c>
      <c r="Q10" s="138"/>
      <c r="R10" s="138"/>
    </row>
    <row r="11" customFormat="false" ht="12.8" hidden="false" customHeight="false" outlineLevel="0" collapsed="false">
      <c r="B11" s="139"/>
      <c r="D11" s="140" t="s">
        <v>608</v>
      </c>
      <c r="E11" s="140" t="s">
        <v>608</v>
      </c>
      <c r="F11" s="140" t="s">
        <v>608</v>
      </c>
      <c r="H11" s="139"/>
      <c r="J11" s="140" t="s">
        <v>608</v>
      </c>
      <c r="K11" s="140" t="s">
        <v>608</v>
      </c>
      <c r="L11" s="140"/>
      <c r="N11" s="139"/>
      <c r="P11" s="140" t="s">
        <v>608</v>
      </c>
      <c r="R11" s="140"/>
    </row>
    <row r="12" customFormat="false" ht="12.8" hidden="false" customHeight="false" outlineLevel="0" collapsed="false">
      <c r="B12" s="139"/>
      <c r="C12" s="0" t="s">
        <v>627</v>
      </c>
      <c r="D12" s="80" t="s">
        <v>610</v>
      </c>
      <c r="E12" s="80" t="s">
        <v>611</v>
      </c>
      <c r="F12" s="80" t="s">
        <v>612</v>
      </c>
      <c r="H12" s="139"/>
      <c r="I12" s="141" t="s">
        <v>609</v>
      </c>
      <c r="J12" s="80" t="s">
        <v>610</v>
      </c>
      <c r="K12" s="80" t="s">
        <v>611</v>
      </c>
      <c r="N12" s="139"/>
      <c r="O12" s="141" t="s">
        <v>609</v>
      </c>
      <c r="P12" s="80" t="s">
        <v>610</v>
      </c>
    </row>
    <row r="13" customFormat="false" ht="12.8" hidden="false" customHeight="false" outlineLevel="0" collapsed="false">
      <c r="B13" s="139"/>
      <c r="E13" s="140" t="s">
        <v>613</v>
      </c>
      <c r="F13" s="140"/>
      <c r="H13" s="139"/>
      <c r="K13" s="140" t="s">
        <v>613</v>
      </c>
      <c r="L13" s="140"/>
      <c r="N13" s="139"/>
      <c r="Q13" s="140" t="s">
        <v>613</v>
      </c>
      <c r="R13" s="140"/>
    </row>
    <row r="14" customFormat="false" ht="12.8" hidden="false" customHeight="false" outlineLevel="0" collapsed="false">
      <c r="B14" s="139"/>
      <c r="E14" s="142" t="s">
        <v>615</v>
      </c>
      <c r="F14" s="142" t="s">
        <v>616</v>
      </c>
      <c r="H14" s="139"/>
      <c r="I14" s="141" t="s">
        <v>614</v>
      </c>
      <c r="K14" s="142" t="s">
        <v>617</v>
      </c>
      <c r="L14" s="142" t="s">
        <v>616</v>
      </c>
      <c r="N14" s="139"/>
      <c r="O14" s="141" t="s">
        <v>614</v>
      </c>
      <c r="P14" s="135"/>
      <c r="Q14" s="142" t="s">
        <v>628</v>
      </c>
      <c r="R14" s="142"/>
    </row>
    <row r="15" customFormat="false" ht="12.8" hidden="false" customHeight="false" outlineLevel="0" collapsed="false">
      <c r="B15" s="139"/>
      <c r="D15" s="135" t="s">
        <v>629</v>
      </c>
      <c r="E15" s="142" t="s">
        <v>618</v>
      </c>
      <c r="F15" s="142"/>
      <c r="H15" s="139"/>
      <c r="J15" s="135" t="s">
        <v>629</v>
      </c>
      <c r="K15" s="142" t="s">
        <v>618</v>
      </c>
      <c r="L15" s="142"/>
      <c r="N15" s="139"/>
      <c r="P15" s="135" t="s">
        <v>629</v>
      </c>
      <c r="Q15" s="142" t="s">
        <v>630</v>
      </c>
      <c r="R15" s="142"/>
    </row>
    <row r="16" customFormat="false" ht="12.8" hidden="false" customHeight="false" outlineLevel="0" collapsed="false">
      <c r="B16" s="139"/>
      <c r="D16" s="135" t="s">
        <v>619</v>
      </c>
      <c r="E16" s="142" t="s">
        <v>620</v>
      </c>
      <c r="F16" s="142"/>
      <c r="H16" s="139"/>
      <c r="J16" s="135" t="s">
        <v>619</v>
      </c>
      <c r="K16" s="142" t="s">
        <v>620</v>
      </c>
      <c r="L16" s="142"/>
      <c r="N16" s="139"/>
      <c r="P16" s="135" t="s">
        <v>619</v>
      </c>
      <c r="Q16" s="142" t="s">
        <v>620</v>
      </c>
      <c r="R16" s="142"/>
    </row>
    <row r="18" customFormat="false" ht="12.8" hidden="false" customHeight="false" outlineLevel="0" collapsed="false">
      <c r="B18" s="139" t="n">
        <v>3</v>
      </c>
      <c r="C18" s="136" t="s">
        <v>631</v>
      </c>
      <c r="D18" s="137" t="s">
        <v>632</v>
      </c>
      <c r="E18" s="137"/>
      <c r="F18" s="137"/>
      <c r="H18" s="139" t="n">
        <v>7</v>
      </c>
      <c r="I18" s="136" t="s">
        <v>633</v>
      </c>
      <c r="J18" s="137" t="s">
        <v>634</v>
      </c>
      <c r="K18" s="137"/>
      <c r="L18" s="137"/>
      <c r="N18" s="139" t="n">
        <v>12</v>
      </c>
      <c r="O18" s="136" t="s">
        <v>635</v>
      </c>
      <c r="P18" s="137" t="s">
        <v>636</v>
      </c>
      <c r="Q18" s="137"/>
      <c r="R18" s="137"/>
    </row>
    <row r="19" customFormat="false" ht="12.8" hidden="false" customHeight="false" outlineLevel="0" collapsed="false">
      <c r="B19" s="139"/>
      <c r="D19" s="140" t="s">
        <v>608</v>
      </c>
      <c r="E19" s="140" t="s">
        <v>608</v>
      </c>
      <c r="F19" s="140" t="s">
        <v>608</v>
      </c>
      <c r="H19" s="139"/>
      <c r="J19" s="140" t="s">
        <v>608</v>
      </c>
      <c r="K19" s="140" t="s">
        <v>608</v>
      </c>
      <c r="L19" s="140"/>
      <c r="N19" s="139"/>
      <c r="P19" s="140" t="s">
        <v>608</v>
      </c>
      <c r="R19" s="140"/>
    </row>
    <row r="20" customFormat="false" ht="12.8" hidden="false" customHeight="false" outlineLevel="0" collapsed="false">
      <c r="B20" s="139"/>
      <c r="C20" s="141" t="s">
        <v>609</v>
      </c>
      <c r="D20" s="80" t="s">
        <v>610</v>
      </c>
      <c r="E20" s="80" t="s">
        <v>611</v>
      </c>
      <c r="F20" s="80" t="s">
        <v>612</v>
      </c>
      <c r="H20" s="139"/>
      <c r="I20" s="141" t="s">
        <v>609</v>
      </c>
      <c r="J20" s="80" t="s">
        <v>610</v>
      </c>
      <c r="K20" s="80" t="s">
        <v>611</v>
      </c>
      <c r="N20" s="139"/>
      <c r="O20" s="141" t="s">
        <v>609</v>
      </c>
      <c r="P20" s="80" t="s">
        <v>610</v>
      </c>
    </row>
    <row r="21" customFormat="false" ht="12.8" hidden="false" customHeight="false" outlineLevel="0" collapsed="false">
      <c r="B21" s="139"/>
      <c r="E21" s="140" t="s">
        <v>613</v>
      </c>
      <c r="F21" s="140"/>
      <c r="H21" s="139"/>
      <c r="K21" s="140" t="s">
        <v>613</v>
      </c>
      <c r="L21" s="140"/>
      <c r="N21" s="139"/>
      <c r="Q21" s="140" t="s">
        <v>613</v>
      </c>
      <c r="R21" s="140"/>
    </row>
    <row r="22" customFormat="false" ht="12.8" hidden="false" customHeight="false" outlineLevel="0" collapsed="false">
      <c r="B22" s="139"/>
      <c r="C22" s="141" t="s">
        <v>614</v>
      </c>
      <c r="D22" s="135" t="s">
        <v>637</v>
      </c>
      <c r="E22" s="142" t="s">
        <v>615</v>
      </c>
      <c r="F22" s="142" t="s">
        <v>616</v>
      </c>
      <c r="G22" s="0" t="s">
        <v>638</v>
      </c>
      <c r="H22" s="139"/>
      <c r="I22" s="141" t="s">
        <v>614</v>
      </c>
      <c r="J22" s="135" t="s">
        <v>637</v>
      </c>
      <c r="K22" s="142" t="s">
        <v>617</v>
      </c>
      <c r="L22" s="142" t="s">
        <v>616</v>
      </c>
      <c r="M22" s="0" t="s">
        <v>638</v>
      </c>
      <c r="N22" s="139"/>
      <c r="O22" s="141" t="s">
        <v>614</v>
      </c>
      <c r="P22" s="135" t="s">
        <v>637</v>
      </c>
      <c r="Q22" s="142" t="s">
        <v>618</v>
      </c>
      <c r="R22" s="142"/>
      <c r="S22" s="0" t="s">
        <v>638</v>
      </c>
    </row>
    <row r="23" customFormat="false" ht="12.8" hidden="false" customHeight="false" outlineLevel="0" collapsed="false">
      <c r="B23" s="139"/>
      <c r="D23" s="135" t="s">
        <v>619</v>
      </c>
      <c r="E23" s="142" t="s">
        <v>620</v>
      </c>
      <c r="F23" s="142"/>
      <c r="H23" s="139"/>
      <c r="J23" s="135" t="s">
        <v>619</v>
      </c>
      <c r="K23" s="142" t="s">
        <v>620</v>
      </c>
      <c r="L23" s="142"/>
      <c r="N23" s="139"/>
      <c r="P23" s="135" t="s">
        <v>619</v>
      </c>
      <c r="Q23" s="142" t="s">
        <v>620</v>
      </c>
      <c r="R23" s="142"/>
    </row>
    <row r="25" customFormat="false" ht="12.8" hidden="false" customHeight="false" outlineLevel="0" collapsed="false">
      <c r="B25" s="139" t="n">
        <v>4</v>
      </c>
      <c r="C25" s="136" t="s">
        <v>639</v>
      </c>
      <c r="D25" s="137" t="s">
        <v>640</v>
      </c>
      <c r="E25" s="137"/>
      <c r="F25" s="137"/>
      <c r="H25" s="139" t="n">
        <v>8</v>
      </c>
      <c r="I25" s="136" t="s">
        <v>641</v>
      </c>
      <c r="J25" s="137" t="s">
        <v>642</v>
      </c>
      <c r="K25" s="137"/>
      <c r="L25" s="137"/>
      <c r="N25" s="139" t="n">
        <v>13</v>
      </c>
      <c r="O25" s="136" t="s">
        <v>643</v>
      </c>
      <c r="P25" s="137" t="s">
        <v>644</v>
      </c>
      <c r="Q25" s="137"/>
      <c r="R25" s="137"/>
    </row>
    <row r="26" customFormat="false" ht="12.8" hidden="false" customHeight="false" outlineLevel="0" collapsed="false">
      <c r="B26" s="139"/>
      <c r="D26" s="140" t="s">
        <v>608</v>
      </c>
      <c r="E26" s="140" t="s">
        <v>608</v>
      </c>
      <c r="F26" s="140" t="s">
        <v>608</v>
      </c>
      <c r="H26" s="139"/>
      <c r="J26" s="140" t="s">
        <v>608</v>
      </c>
      <c r="K26" s="140" t="s">
        <v>608</v>
      </c>
      <c r="L26" s="140"/>
      <c r="N26" s="139"/>
      <c r="P26" s="140" t="s">
        <v>608</v>
      </c>
      <c r="Q26" s="140"/>
      <c r="R26" s="140"/>
    </row>
    <row r="27" customFormat="false" ht="12.8" hidden="false" customHeight="false" outlineLevel="0" collapsed="false">
      <c r="B27" s="139"/>
      <c r="C27" s="141" t="s">
        <v>609</v>
      </c>
      <c r="D27" s="80" t="s">
        <v>610</v>
      </c>
      <c r="E27" s="80" t="s">
        <v>611</v>
      </c>
      <c r="F27" s="80" t="s">
        <v>612</v>
      </c>
      <c r="H27" s="139"/>
      <c r="I27" s="141" t="s">
        <v>609</v>
      </c>
      <c r="J27" s="80" t="s">
        <v>610</v>
      </c>
      <c r="K27" s="80" t="s">
        <v>611</v>
      </c>
      <c r="N27" s="139"/>
      <c r="O27" s="141" t="s">
        <v>609</v>
      </c>
      <c r="P27" s="80" t="s">
        <v>610</v>
      </c>
    </row>
    <row r="28" customFormat="false" ht="12.8" hidden="false" customHeight="false" outlineLevel="0" collapsed="false">
      <c r="B28" s="139"/>
      <c r="E28" s="140" t="s">
        <v>613</v>
      </c>
      <c r="F28" s="140"/>
      <c r="H28" s="139"/>
      <c r="K28" s="140" t="s">
        <v>613</v>
      </c>
      <c r="L28" s="140"/>
      <c r="N28" s="139"/>
      <c r="Q28" s="140" t="s">
        <v>613</v>
      </c>
      <c r="R28" s="140"/>
    </row>
    <row r="29" customFormat="false" ht="12.8" hidden="false" customHeight="false" outlineLevel="0" collapsed="false">
      <c r="B29" s="139"/>
      <c r="C29" s="141" t="s">
        <v>614</v>
      </c>
      <c r="E29" s="142" t="s">
        <v>615</v>
      </c>
      <c r="F29" s="142" t="s">
        <v>616</v>
      </c>
      <c r="H29" s="139"/>
      <c r="I29" s="141" t="s">
        <v>614</v>
      </c>
      <c r="K29" s="142" t="s">
        <v>617</v>
      </c>
      <c r="L29" s="142" t="s">
        <v>616</v>
      </c>
      <c r="N29" s="139"/>
      <c r="O29" s="141" t="s">
        <v>614</v>
      </c>
      <c r="Q29" s="142" t="s">
        <v>628</v>
      </c>
      <c r="R29" s="142"/>
    </row>
    <row r="30" customFormat="false" ht="12.8" hidden="false" customHeight="false" outlineLevel="0" collapsed="false">
      <c r="B30" s="139"/>
      <c r="D30" s="135" t="s">
        <v>629</v>
      </c>
      <c r="E30" s="142" t="s">
        <v>618</v>
      </c>
      <c r="F30" s="142"/>
      <c r="H30" s="139"/>
      <c r="J30" s="135" t="s">
        <v>629</v>
      </c>
      <c r="K30" s="142" t="s">
        <v>618</v>
      </c>
      <c r="L30" s="142"/>
      <c r="N30" s="139"/>
      <c r="P30" s="135" t="s">
        <v>629</v>
      </c>
      <c r="Q30" s="142" t="s">
        <v>630</v>
      </c>
      <c r="R30" s="142"/>
    </row>
    <row r="31" customFormat="false" ht="12.8" hidden="false" customHeight="false" outlineLevel="0" collapsed="false">
      <c r="B31" s="139"/>
      <c r="D31" s="135" t="s">
        <v>637</v>
      </c>
      <c r="E31" s="142" t="s">
        <v>645</v>
      </c>
      <c r="F31" s="142" t="s">
        <v>616</v>
      </c>
      <c r="G31" s="0" t="s">
        <v>638</v>
      </c>
      <c r="H31" s="139"/>
      <c r="J31" s="135" t="s">
        <v>637</v>
      </c>
      <c r="K31" s="142" t="s">
        <v>645</v>
      </c>
      <c r="L31" s="142" t="s">
        <v>616</v>
      </c>
      <c r="M31" s="0" t="s">
        <v>638</v>
      </c>
      <c r="N31" s="139"/>
      <c r="P31" s="135" t="s">
        <v>637</v>
      </c>
      <c r="Q31" s="142" t="s">
        <v>645</v>
      </c>
      <c r="R31" s="142" t="s">
        <v>616</v>
      </c>
      <c r="S31" s="0" t="s">
        <v>638</v>
      </c>
    </row>
    <row r="32" customFormat="false" ht="12.8" hidden="false" customHeight="false" outlineLevel="0" collapsed="false">
      <c r="B32" s="139"/>
      <c r="D32" s="135" t="s">
        <v>619</v>
      </c>
      <c r="E32" s="142" t="s">
        <v>620</v>
      </c>
      <c r="F32" s="142"/>
      <c r="H32" s="139"/>
      <c r="J32" s="135" t="s">
        <v>619</v>
      </c>
      <c r="K32" s="142" t="s">
        <v>620</v>
      </c>
      <c r="L32" s="142"/>
      <c r="N32" s="139"/>
      <c r="P32" s="135" t="s">
        <v>619</v>
      </c>
      <c r="Q32" s="142" t="s">
        <v>620</v>
      </c>
      <c r="R32" s="142"/>
    </row>
    <row r="34" customFormat="false" ht="12.8" hidden="false" customHeight="false" outlineLevel="0" collapsed="false">
      <c r="B34" s="139" t="n">
        <v>5</v>
      </c>
      <c r="C34" s="136" t="s">
        <v>646</v>
      </c>
      <c r="D34" s="137" t="s">
        <v>647</v>
      </c>
      <c r="E34" s="137"/>
      <c r="F34" s="137"/>
      <c r="H34" s="139" t="n">
        <v>9</v>
      </c>
      <c r="I34" s="136" t="s">
        <v>648</v>
      </c>
      <c r="J34" s="137" t="s">
        <v>649</v>
      </c>
      <c r="K34" s="137"/>
      <c r="L34" s="137"/>
      <c r="N34" s="139" t="n">
        <v>14</v>
      </c>
      <c r="O34" s="136" t="s">
        <v>650</v>
      </c>
      <c r="P34" s="137" t="s">
        <v>651</v>
      </c>
      <c r="Q34" s="137"/>
      <c r="R34" s="137"/>
    </row>
    <row r="35" customFormat="false" ht="12.8" hidden="false" customHeight="false" outlineLevel="0" collapsed="false">
      <c r="B35" s="139"/>
      <c r="D35" s="140" t="s">
        <v>608</v>
      </c>
      <c r="E35" s="140" t="s">
        <v>608</v>
      </c>
      <c r="F35" s="140" t="s">
        <v>608</v>
      </c>
      <c r="H35" s="139"/>
      <c r="J35" s="140" t="s">
        <v>608</v>
      </c>
      <c r="K35" s="140" t="s">
        <v>608</v>
      </c>
      <c r="L35" s="140"/>
      <c r="N35" s="139"/>
      <c r="P35" s="140" t="s">
        <v>608</v>
      </c>
      <c r="R35" s="140"/>
    </row>
    <row r="36" customFormat="false" ht="12.8" hidden="false" customHeight="false" outlineLevel="0" collapsed="false">
      <c r="B36" s="139"/>
      <c r="C36" s="141" t="s">
        <v>609</v>
      </c>
      <c r="D36" s="80" t="s">
        <v>610</v>
      </c>
      <c r="E36" s="80" t="s">
        <v>611</v>
      </c>
      <c r="F36" s="80" t="s">
        <v>612</v>
      </c>
      <c r="H36" s="139"/>
      <c r="I36" s="141" t="s">
        <v>609</v>
      </c>
      <c r="J36" s="80" t="s">
        <v>610</v>
      </c>
      <c r="K36" s="80" t="s">
        <v>611</v>
      </c>
      <c r="N36" s="139"/>
      <c r="O36" s="141" t="s">
        <v>609</v>
      </c>
      <c r="P36" s="80" t="s">
        <v>610</v>
      </c>
    </row>
    <row r="37" customFormat="false" ht="12.8" hidden="false" customHeight="false" outlineLevel="0" collapsed="false">
      <c r="B37" s="139"/>
      <c r="E37" s="140" t="s">
        <v>613</v>
      </c>
      <c r="F37" s="140"/>
      <c r="H37" s="139"/>
      <c r="K37" s="140" t="s">
        <v>613</v>
      </c>
      <c r="L37" s="140"/>
      <c r="N37" s="139"/>
      <c r="Q37" s="140" t="s">
        <v>613</v>
      </c>
      <c r="R37" s="140"/>
    </row>
    <row r="38" customFormat="false" ht="12.8" hidden="false" customHeight="false" outlineLevel="0" collapsed="false">
      <c r="B38" s="139"/>
      <c r="C38" s="141" t="s">
        <v>614</v>
      </c>
      <c r="D38" s="135" t="s">
        <v>637</v>
      </c>
      <c r="E38" s="142" t="s">
        <v>615</v>
      </c>
      <c r="F38" s="142" t="s">
        <v>616</v>
      </c>
      <c r="G38" s="0" t="s">
        <v>638</v>
      </c>
      <c r="H38" s="139"/>
      <c r="I38" s="141" t="s">
        <v>614</v>
      </c>
      <c r="J38" s="135" t="s">
        <v>637</v>
      </c>
      <c r="K38" s="142" t="s">
        <v>617</v>
      </c>
      <c r="L38" s="142" t="s">
        <v>616</v>
      </c>
      <c r="M38" s="0" t="s">
        <v>638</v>
      </c>
      <c r="N38" s="139"/>
      <c r="O38" s="141" t="s">
        <v>614</v>
      </c>
      <c r="P38" s="135" t="s">
        <v>637</v>
      </c>
      <c r="Q38" s="142" t="s">
        <v>628</v>
      </c>
      <c r="R38" s="142"/>
      <c r="S38" s="0" t="s">
        <v>638</v>
      </c>
    </row>
    <row r="39" customFormat="false" ht="12.8" hidden="false" customHeight="false" outlineLevel="0" collapsed="false">
      <c r="B39" s="139"/>
      <c r="D39" s="135" t="s">
        <v>629</v>
      </c>
      <c r="E39" s="142" t="s">
        <v>618</v>
      </c>
      <c r="F39" s="142"/>
      <c r="H39" s="139"/>
      <c r="J39" s="135" t="s">
        <v>629</v>
      </c>
      <c r="K39" s="142" t="s">
        <v>618</v>
      </c>
      <c r="L39" s="142"/>
      <c r="N39" s="139"/>
      <c r="P39" s="135" t="s">
        <v>629</v>
      </c>
      <c r="Q39" s="142" t="s">
        <v>630</v>
      </c>
      <c r="R39" s="142"/>
    </row>
    <row r="40" customFormat="false" ht="12.8" hidden="false" customHeight="false" outlineLevel="0" collapsed="false">
      <c r="B40" s="139"/>
      <c r="D40" s="135" t="s">
        <v>619</v>
      </c>
      <c r="E40" s="142" t="s">
        <v>620</v>
      </c>
      <c r="F40" s="142"/>
      <c r="H40" s="139"/>
      <c r="J40" s="135" t="s">
        <v>619</v>
      </c>
      <c r="K40" s="142" t="s">
        <v>620</v>
      </c>
      <c r="L40" s="142"/>
      <c r="N40" s="139"/>
      <c r="P40" s="135" t="s">
        <v>619</v>
      </c>
      <c r="Q40" s="142" t="s">
        <v>620</v>
      </c>
      <c r="R40" s="142"/>
    </row>
    <row r="42" customFormat="false" ht="12.8" hidden="false" customHeight="true" outlineLevel="0" collapsed="false">
      <c r="C42" s="131" t="s">
        <v>652</v>
      </c>
      <c r="D42" s="131"/>
      <c r="E42" s="131"/>
      <c r="F42" s="131"/>
      <c r="G42" s="131"/>
      <c r="H42" s="131"/>
      <c r="I42" s="131"/>
    </row>
    <row r="43" customFormat="false" ht="12.8" hidden="false" customHeight="false" outlineLevel="0" collapsed="false">
      <c r="C43" s="131"/>
      <c r="D43" s="131"/>
      <c r="E43" s="131"/>
      <c r="F43" s="131"/>
      <c r="G43" s="131"/>
      <c r="H43" s="131"/>
      <c r="I43" s="131"/>
    </row>
    <row r="44" customFormat="false" ht="12.8" hidden="false" customHeight="false" outlineLevel="0" collapsed="false">
      <c r="C44" s="131"/>
      <c r="D44" s="131"/>
      <c r="E44" s="131"/>
      <c r="F44" s="131"/>
      <c r="G44" s="131"/>
      <c r="H44" s="131"/>
      <c r="I44" s="131"/>
    </row>
    <row r="45" customFormat="false" ht="12.8" hidden="false" customHeight="false" outlineLevel="0" collapsed="false">
      <c r="C45" s="2"/>
    </row>
    <row r="46" customFormat="false" ht="12.8" hidden="false" customHeight="true" outlineLevel="0" collapsed="false">
      <c r="C46" s="131" t="s">
        <v>653</v>
      </c>
      <c r="D46" s="131"/>
      <c r="E46" s="131"/>
      <c r="F46" s="131"/>
      <c r="G46" s="131"/>
      <c r="H46" s="131"/>
      <c r="I46" s="131"/>
    </row>
    <row r="47" customFormat="false" ht="12.8" hidden="false" customHeight="false" outlineLevel="0" collapsed="false">
      <c r="C47" s="131"/>
      <c r="D47" s="131"/>
      <c r="E47" s="131"/>
      <c r="F47" s="131"/>
      <c r="G47" s="131"/>
      <c r="H47" s="131"/>
      <c r="I47" s="131"/>
    </row>
    <row r="48" customFormat="false" ht="12.8" hidden="false" customHeight="false" outlineLevel="0" collapsed="false">
      <c r="C48" s="131"/>
      <c r="D48" s="131"/>
      <c r="E48" s="131"/>
      <c r="F48" s="131"/>
      <c r="G48" s="131"/>
      <c r="H48" s="131"/>
      <c r="I48" s="131"/>
    </row>
  </sheetData>
  <mergeCells count="90">
    <mergeCell ref="C2:F2"/>
    <mergeCell ref="I2:L2"/>
    <mergeCell ref="O2:R2"/>
    <mergeCell ref="B3:B16"/>
    <mergeCell ref="D3:F3"/>
    <mergeCell ref="H3:H16"/>
    <mergeCell ref="J3:L3"/>
    <mergeCell ref="N3:N8"/>
    <mergeCell ref="P3:R3"/>
    <mergeCell ref="E6:F6"/>
    <mergeCell ref="K6:L6"/>
    <mergeCell ref="Q6:R6"/>
    <mergeCell ref="E7:F7"/>
    <mergeCell ref="K7:L7"/>
    <mergeCell ref="Q7:R7"/>
    <mergeCell ref="E8:F8"/>
    <mergeCell ref="K8:L8"/>
    <mergeCell ref="Q8:R8"/>
    <mergeCell ref="D10:F10"/>
    <mergeCell ref="J10:L10"/>
    <mergeCell ref="N10:N16"/>
    <mergeCell ref="P10:R10"/>
    <mergeCell ref="E13:F13"/>
    <mergeCell ref="K13:L13"/>
    <mergeCell ref="Q13:R13"/>
    <mergeCell ref="E14:F14"/>
    <mergeCell ref="K14:L14"/>
    <mergeCell ref="Q14:R14"/>
    <mergeCell ref="E15:F15"/>
    <mergeCell ref="K15:L15"/>
    <mergeCell ref="Q15:R15"/>
    <mergeCell ref="E16:F16"/>
    <mergeCell ref="K16:L16"/>
    <mergeCell ref="Q16:R16"/>
    <mergeCell ref="B18:B23"/>
    <mergeCell ref="D18:F18"/>
    <mergeCell ref="H18:H23"/>
    <mergeCell ref="J18:L18"/>
    <mergeCell ref="N18:N23"/>
    <mergeCell ref="P18:R18"/>
    <mergeCell ref="E21:F21"/>
    <mergeCell ref="K21:L21"/>
    <mergeCell ref="Q21:R21"/>
    <mergeCell ref="E22:F22"/>
    <mergeCell ref="K22:L22"/>
    <mergeCell ref="Q22:R22"/>
    <mergeCell ref="E23:F23"/>
    <mergeCell ref="K23:L23"/>
    <mergeCell ref="Q23:R23"/>
    <mergeCell ref="B25:B32"/>
    <mergeCell ref="D25:F25"/>
    <mergeCell ref="H25:H32"/>
    <mergeCell ref="J25:L25"/>
    <mergeCell ref="N25:N32"/>
    <mergeCell ref="P25:R25"/>
    <mergeCell ref="E28:F28"/>
    <mergeCell ref="K28:L28"/>
    <mergeCell ref="Q28:R28"/>
    <mergeCell ref="E29:F29"/>
    <mergeCell ref="K29:L29"/>
    <mergeCell ref="Q29:R29"/>
    <mergeCell ref="E30:F30"/>
    <mergeCell ref="K30:L30"/>
    <mergeCell ref="Q30:R30"/>
    <mergeCell ref="E31:F31"/>
    <mergeCell ref="K31:L31"/>
    <mergeCell ref="Q31:R31"/>
    <mergeCell ref="E32:F32"/>
    <mergeCell ref="K32:L32"/>
    <mergeCell ref="Q32:R32"/>
    <mergeCell ref="B34:B40"/>
    <mergeCell ref="D34:F34"/>
    <mergeCell ref="H34:H40"/>
    <mergeCell ref="J34:L34"/>
    <mergeCell ref="N34:N40"/>
    <mergeCell ref="P34:R34"/>
    <mergeCell ref="E37:F37"/>
    <mergeCell ref="K37:L37"/>
    <mergeCell ref="Q37:R37"/>
    <mergeCell ref="E38:F38"/>
    <mergeCell ref="K38:L38"/>
    <mergeCell ref="Q38:R38"/>
    <mergeCell ref="E39:F39"/>
    <mergeCell ref="K39:L39"/>
    <mergeCell ref="Q39:R39"/>
    <mergeCell ref="E40:F40"/>
    <mergeCell ref="K40:L40"/>
    <mergeCell ref="Q40:R40"/>
    <mergeCell ref="C42:I44"/>
    <mergeCell ref="C46:I48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42"/>
  <sheetViews>
    <sheetView showFormulas="false" showGridLines="true" showRowColHeaders="true" showZeros="true" rightToLeft="false" tabSelected="false" showOutlineSymbols="true" defaultGridColor="true" view="normal" topLeftCell="A288" colorId="64" zoomScale="100" zoomScaleNormal="100" zoomScalePageLayoutView="100" workbookViewId="0">
      <selection pane="topLeft" activeCell="L348" activeCellId="0" sqref="L3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64"/>
    <col collapsed="false" customWidth="true" hidden="false" outlineLevel="0" max="2" min="2" style="0" width="22.53"/>
    <col collapsed="false" customWidth="true" hidden="false" outlineLevel="0" max="3" min="3" style="0" width="2.64"/>
    <col collapsed="false" customWidth="true" hidden="false" outlineLevel="0" max="15" min="4" style="0" width="18.49"/>
    <col collapsed="false" customWidth="true" hidden="false" outlineLevel="0" max="19" min="16" style="0" width="12.51"/>
    <col collapsed="false" customWidth="true" hidden="false" outlineLevel="0" max="20" min="20" style="0" width="2.64"/>
    <col collapsed="false" customWidth="true" hidden="false" outlineLevel="0" max="27" min="21" style="0" width="12.51"/>
    <col collapsed="false" customWidth="true" hidden="false" outlineLevel="0" max="28" min="28" style="0" width="13.49"/>
    <col collapsed="false" customWidth="true" hidden="false" outlineLevel="0" max="35" min="29" style="0" width="12.51"/>
    <col collapsed="false" customWidth="true" hidden="false" outlineLevel="0" max="36" min="36" style="0" width="13.49"/>
    <col collapsed="false" customWidth="true" hidden="false" outlineLevel="0" max="37" min="37" style="0" width="2.64"/>
  </cols>
  <sheetData>
    <row r="1" customFormat="false" ht="12.8" hidden="false" customHeight="false" outlineLevel="0" collapsed="false"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customFormat="false" ht="12.8" hidden="false" customHeight="false" outlineLevel="0" collapsed="false">
      <c r="B2" s="143"/>
      <c r="C2" s="143"/>
      <c r="D2" s="143"/>
      <c r="E2" s="143"/>
      <c r="F2" s="143"/>
      <c r="G2" s="143"/>
      <c r="H2" s="143"/>
      <c r="I2" s="143"/>
      <c r="J2" s="98" t="s">
        <v>234</v>
      </c>
      <c r="K2" s="98"/>
      <c r="L2" s="98"/>
      <c r="M2" s="143"/>
      <c r="N2" s="143"/>
      <c r="O2" s="143"/>
      <c r="P2" s="143"/>
      <c r="Q2" s="143"/>
      <c r="R2" s="143"/>
      <c r="S2" s="143"/>
    </row>
    <row r="3" customFormat="false" ht="12.8" hidden="false" customHeight="false" outlineLevel="0" collapsed="false">
      <c r="B3" s="143"/>
      <c r="C3" s="143"/>
      <c r="D3" s="143"/>
      <c r="E3" s="143"/>
      <c r="F3" s="143"/>
      <c r="G3" s="143"/>
      <c r="H3" s="143"/>
      <c r="I3" s="143"/>
      <c r="J3" s="98"/>
      <c r="K3" s="98"/>
      <c r="L3" s="98"/>
      <c r="M3" s="143"/>
      <c r="N3" s="143"/>
      <c r="O3" s="143"/>
      <c r="P3" s="143"/>
      <c r="Q3" s="143"/>
      <c r="R3" s="143"/>
      <c r="S3" s="143"/>
    </row>
    <row r="4" customFormat="false" ht="7.45" hidden="false" customHeight="true" outlineLevel="0" collapsed="false">
      <c r="B4" s="143"/>
      <c r="C4" s="143"/>
      <c r="D4" s="143"/>
      <c r="E4" s="143"/>
      <c r="F4" s="143"/>
      <c r="G4" s="143"/>
      <c r="H4" s="143"/>
      <c r="I4" s="143"/>
      <c r="J4" s="98"/>
      <c r="K4" s="98"/>
      <c r="L4" s="98"/>
      <c r="M4" s="143"/>
      <c r="N4" s="143"/>
      <c r="O4" s="143"/>
      <c r="P4" s="143"/>
      <c r="Q4" s="143"/>
      <c r="R4" s="143"/>
      <c r="S4" s="143"/>
    </row>
    <row r="5" customFormat="false" ht="12.8" hidden="false" customHeight="false" outlineLevel="0" collapsed="false">
      <c r="B5" s="143"/>
      <c r="C5" s="143"/>
      <c r="D5" s="143"/>
      <c r="E5" s="143"/>
      <c r="F5" s="143"/>
      <c r="G5" s="143"/>
      <c r="H5" s="143"/>
      <c r="I5" s="143"/>
      <c r="J5" s="99" t="s">
        <v>654</v>
      </c>
      <c r="K5" s="99"/>
      <c r="L5" s="144" t="s">
        <v>655</v>
      </c>
      <c r="M5" s="143"/>
      <c r="N5" s="143"/>
      <c r="O5" s="143"/>
      <c r="P5" s="143"/>
      <c r="Q5" s="143"/>
      <c r="R5" s="143"/>
      <c r="S5" s="143"/>
    </row>
    <row r="6" customFormat="false" ht="12.8" hidden="false" customHeight="false" outlineLevel="0" collapsed="false">
      <c r="B6" s="143"/>
      <c r="C6" s="143"/>
      <c r="D6" s="143"/>
      <c r="E6" s="143"/>
      <c r="F6" s="143"/>
      <c r="G6" s="143"/>
      <c r="H6" s="143"/>
      <c r="I6" s="143"/>
      <c r="J6" s="99"/>
      <c r="K6" s="99"/>
      <c r="L6" s="144"/>
      <c r="M6" s="144"/>
      <c r="N6" s="143"/>
      <c r="O6" s="143"/>
      <c r="P6" s="143"/>
      <c r="Q6" s="143"/>
      <c r="R6" s="143"/>
      <c r="S6" s="143"/>
    </row>
    <row r="7" customFormat="false" ht="12.8" hidden="false" customHeight="false" outlineLevel="0" collapsed="false">
      <c r="A7" s="103"/>
      <c r="B7" s="103"/>
      <c r="C7" s="103"/>
      <c r="D7" s="145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</row>
    <row r="8" customFormat="false" ht="12.8" hidden="false" customHeight="false" outlineLevel="0" collapsed="false">
      <c r="A8" s="103"/>
      <c r="C8" s="103"/>
      <c r="D8" s="104" t="s">
        <v>656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3"/>
      <c r="U8" s="104" t="s">
        <v>657</v>
      </c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3"/>
    </row>
    <row r="9" customFormat="false" ht="12.8" hidden="false" customHeight="false" outlineLevel="0" collapsed="false">
      <c r="A9" s="103"/>
      <c r="B9" s="30" t="s">
        <v>237</v>
      </c>
      <c r="C9" s="103"/>
      <c r="D9" s="147" t="n">
        <v>15</v>
      </c>
      <c r="E9" s="148" t="n">
        <f aca="false">D9-1</f>
        <v>14</v>
      </c>
      <c r="F9" s="148" t="n">
        <f aca="false">E9-1</f>
        <v>13</v>
      </c>
      <c r="G9" s="148" t="n">
        <f aca="false">F9-1</f>
        <v>12</v>
      </c>
      <c r="H9" s="148" t="n">
        <f aca="false">G9-1</f>
        <v>11</v>
      </c>
      <c r="I9" s="148" t="n">
        <f aca="false">H9-1</f>
        <v>10</v>
      </c>
      <c r="J9" s="148" t="n">
        <f aca="false">I9-1</f>
        <v>9</v>
      </c>
      <c r="K9" s="148" t="n">
        <f aca="false">J9-1</f>
        <v>8</v>
      </c>
      <c r="L9" s="148" t="n">
        <f aca="false">K9-1</f>
        <v>7</v>
      </c>
      <c r="M9" s="148" t="n">
        <f aca="false">L9-1</f>
        <v>6</v>
      </c>
      <c r="N9" s="148" t="n">
        <f aca="false">M9-1</f>
        <v>5</v>
      </c>
      <c r="O9" s="148" t="n">
        <f aca="false">N9-1</f>
        <v>4</v>
      </c>
      <c r="P9" s="148" t="n">
        <f aca="false">O9-1</f>
        <v>3</v>
      </c>
      <c r="Q9" s="148" t="n">
        <f aca="false">P9-1</f>
        <v>2</v>
      </c>
      <c r="R9" s="148" t="n">
        <f aca="false">Q9-1</f>
        <v>1</v>
      </c>
      <c r="S9" s="149" t="n">
        <f aca="false">R9-1</f>
        <v>0</v>
      </c>
      <c r="T9" s="103"/>
      <c r="U9" s="147" t="n">
        <v>15</v>
      </c>
      <c r="V9" s="148" t="n">
        <f aca="false">U9-1</f>
        <v>14</v>
      </c>
      <c r="W9" s="148" t="n">
        <f aca="false">V9-1</f>
        <v>13</v>
      </c>
      <c r="X9" s="148" t="n">
        <f aca="false">W9-1</f>
        <v>12</v>
      </c>
      <c r="Y9" s="148" t="n">
        <f aca="false">X9-1</f>
        <v>11</v>
      </c>
      <c r="Z9" s="148" t="n">
        <f aca="false">Y9-1</f>
        <v>10</v>
      </c>
      <c r="AA9" s="148" t="n">
        <f aca="false">Z9-1</f>
        <v>9</v>
      </c>
      <c r="AB9" s="148" t="n">
        <f aca="false">AA9-1</f>
        <v>8</v>
      </c>
      <c r="AC9" s="148" t="n">
        <f aca="false">AB9-1</f>
        <v>7</v>
      </c>
      <c r="AD9" s="148" t="n">
        <f aca="false">AC9-1</f>
        <v>6</v>
      </c>
      <c r="AE9" s="148" t="n">
        <f aca="false">AD9-1</f>
        <v>5</v>
      </c>
      <c r="AF9" s="148" t="n">
        <f aca="false">AE9-1</f>
        <v>4</v>
      </c>
      <c r="AG9" s="148" t="n">
        <f aca="false">AF9-1</f>
        <v>3</v>
      </c>
      <c r="AH9" s="148" t="n">
        <f aca="false">AG9-1</f>
        <v>2</v>
      </c>
      <c r="AI9" s="148" t="n">
        <f aca="false">AH9-1</f>
        <v>1</v>
      </c>
      <c r="AJ9" s="149" t="n">
        <f aca="false">AI9-1</f>
        <v>0</v>
      </c>
      <c r="AK9" s="103"/>
    </row>
    <row r="10" customFormat="false" ht="12.8" hidden="false" customHeight="false" outlineLevel="0" collapsed="false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8" t="s">
        <v>237</v>
      </c>
      <c r="Q10" s="108"/>
      <c r="R10" s="108"/>
      <c r="S10" s="108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</row>
    <row r="11" customFormat="false" ht="12.8" hidden="false" customHeight="false" outlineLevel="0" collapsed="false">
      <c r="A11" s="103"/>
      <c r="B11" s="0" t="s">
        <v>658</v>
      </c>
      <c r="C11" s="103"/>
      <c r="D11" s="150" t="s">
        <v>659</v>
      </c>
      <c r="E11" s="150" t="s">
        <v>660</v>
      </c>
      <c r="F11" s="150"/>
      <c r="G11" s="150"/>
      <c r="H11" s="150"/>
      <c r="I11" s="150" t="s">
        <v>661</v>
      </c>
      <c r="J11" s="150"/>
      <c r="K11" s="150"/>
      <c r="L11" s="150"/>
      <c r="M11" s="150"/>
      <c r="N11" s="150"/>
      <c r="O11" s="150"/>
      <c r="P11" s="57" t="s">
        <v>662</v>
      </c>
      <c r="Q11" s="57"/>
      <c r="R11" s="57"/>
      <c r="S11" s="57"/>
      <c r="T11" s="103"/>
      <c r="U11" s="109" t="s">
        <v>661</v>
      </c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3"/>
    </row>
    <row r="12" customFormat="false" ht="12.8" hidden="false" customHeight="true" outlineLevel="0" collapsed="false">
      <c r="A12" s="103"/>
      <c r="B12" s="0" t="s">
        <v>663</v>
      </c>
      <c r="C12" s="103"/>
      <c r="D12" s="151" t="n">
        <v>0</v>
      </c>
      <c r="E12" s="80" t="s">
        <v>607</v>
      </c>
      <c r="F12" s="142" t="s">
        <v>607</v>
      </c>
      <c r="G12" s="142"/>
      <c r="H12" s="142"/>
      <c r="I12" s="152" t="s">
        <v>664</v>
      </c>
      <c r="J12" s="152"/>
      <c r="K12" s="152"/>
      <c r="L12" s="152" t="s">
        <v>665</v>
      </c>
      <c r="M12" s="152"/>
      <c r="N12" s="152"/>
      <c r="O12" s="152"/>
      <c r="P12" s="57"/>
      <c r="Q12" s="57"/>
      <c r="R12" s="57"/>
      <c r="S12" s="57"/>
      <c r="T12" s="103"/>
      <c r="U12" s="153" t="s">
        <v>666</v>
      </c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03"/>
    </row>
    <row r="13" customFormat="false" ht="12.8" hidden="false" customHeight="false" outlineLevel="0" collapsed="false">
      <c r="A13" s="103"/>
      <c r="B13" s="0" t="s">
        <v>667</v>
      </c>
      <c r="C13" s="103"/>
      <c r="D13" s="151"/>
      <c r="E13" s="66" t="n">
        <v>0</v>
      </c>
      <c r="F13" s="57" t="s">
        <v>668</v>
      </c>
      <c r="G13" s="57"/>
      <c r="H13" s="57"/>
      <c r="I13" s="154" t="s">
        <v>669</v>
      </c>
      <c r="J13" s="154"/>
      <c r="K13" s="154"/>
      <c r="L13" s="154" t="s">
        <v>670</v>
      </c>
      <c r="M13" s="154"/>
      <c r="N13" s="154"/>
      <c r="O13" s="154"/>
      <c r="P13" s="57"/>
      <c r="Q13" s="57"/>
      <c r="R13" s="57"/>
      <c r="S13" s="57"/>
      <c r="T13" s="10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03"/>
    </row>
    <row r="14" customFormat="false" ht="12.8" hidden="false" customHeight="false" outlineLevel="0" collapsed="false">
      <c r="A14" s="103"/>
      <c r="B14" s="0" t="s">
        <v>671</v>
      </c>
      <c r="C14" s="103"/>
      <c r="D14" s="151"/>
      <c r="E14" s="66"/>
      <c r="F14" s="57"/>
      <c r="G14" s="57"/>
      <c r="H14" s="57"/>
      <c r="I14" s="154"/>
      <c r="J14" s="154"/>
      <c r="K14" s="154"/>
      <c r="L14" s="154"/>
      <c r="M14" s="154"/>
      <c r="N14" s="154"/>
      <c r="O14" s="154"/>
      <c r="P14" s="57"/>
      <c r="Q14" s="57"/>
      <c r="R14" s="57"/>
      <c r="S14" s="57"/>
      <c r="T14" s="10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03"/>
    </row>
    <row r="15" customFormat="false" ht="12.8" hidden="false" customHeight="false" outlineLevel="0" collapsed="false">
      <c r="A15" s="103"/>
      <c r="B15" s="0" t="s">
        <v>672</v>
      </c>
      <c r="C15" s="103"/>
      <c r="D15" s="150" t="s">
        <v>673</v>
      </c>
      <c r="E15" s="150" t="s">
        <v>661</v>
      </c>
      <c r="F15" s="150"/>
      <c r="G15" s="150"/>
      <c r="H15" s="150"/>
      <c r="I15" s="150" t="s">
        <v>660</v>
      </c>
      <c r="J15" s="150"/>
      <c r="K15" s="150"/>
      <c r="L15" s="150"/>
      <c r="M15" s="150"/>
      <c r="N15" s="150"/>
      <c r="O15" s="150"/>
      <c r="P15" s="57"/>
      <c r="Q15" s="57"/>
      <c r="R15" s="57"/>
      <c r="S15" s="57"/>
      <c r="T15" s="103"/>
      <c r="U15" s="109" t="s">
        <v>660</v>
      </c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3"/>
    </row>
    <row r="16" customFormat="false" ht="12.8" hidden="false" customHeight="true" outlineLevel="0" collapsed="false">
      <c r="A16" s="103"/>
      <c r="C16" s="103"/>
      <c r="D16" s="151" t="n">
        <v>1</v>
      </c>
      <c r="E16" s="152" t="s">
        <v>607</v>
      </c>
      <c r="F16" s="152" t="s">
        <v>607</v>
      </c>
      <c r="G16" s="152"/>
      <c r="H16" s="152"/>
      <c r="I16" s="142" t="s">
        <v>664</v>
      </c>
      <c r="J16" s="142"/>
      <c r="K16" s="142"/>
      <c r="L16" s="142" t="s">
        <v>665</v>
      </c>
      <c r="M16" s="142"/>
      <c r="N16" s="142"/>
      <c r="O16" s="142"/>
      <c r="P16" s="57"/>
      <c r="Q16" s="57"/>
      <c r="R16" s="57"/>
      <c r="S16" s="57"/>
      <c r="T16" s="103"/>
      <c r="U16" s="125" t="s">
        <v>666</v>
      </c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03"/>
    </row>
    <row r="17" customFormat="false" ht="12.8" hidden="false" customHeight="false" outlineLevel="0" collapsed="false">
      <c r="A17" s="103"/>
      <c r="C17" s="103"/>
      <c r="D17" s="151"/>
      <c r="E17" s="155" t="n">
        <v>0</v>
      </c>
      <c r="F17" s="156" t="s">
        <v>674</v>
      </c>
      <c r="G17" s="156"/>
      <c r="H17" s="156"/>
      <c r="I17" s="157" t="s">
        <v>669</v>
      </c>
      <c r="J17" s="157"/>
      <c r="K17" s="157"/>
      <c r="L17" s="57" t="s">
        <v>670</v>
      </c>
      <c r="M17" s="57"/>
      <c r="N17" s="57"/>
      <c r="O17" s="57"/>
      <c r="P17" s="57"/>
      <c r="Q17" s="57"/>
      <c r="R17" s="57"/>
      <c r="S17" s="57"/>
      <c r="T17" s="103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03"/>
    </row>
    <row r="18" customFormat="false" ht="12.8" hidden="false" customHeight="false" outlineLevel="0" collapsed="false">
      <c r="A18" s="103"/>
      <c r="C18" s="103"/>
      <c r="D18" s="151"/>
      <c r="E18" s="155"/>
      <c r="F18" s="156"/>
      <c r="G18" s="156"/>
      <c r="H18" s="156"/>
      <c r="I18" s="157"/>
      <c r="J18" s="157"/>
      <c r="K18" s="157"/>
      <c r="L18" s="57"/>
      <c r="M18" s="57"/>
      <c r="N18" s="57"/>
      <c r="O18" s="57"/>
      <c r="P18" s="57"/>
      <c r="Q18" s="57"/>
      <c r="R18" s="57"/>
      <c r="S18" s="57"/>
      <c r="T18" s="103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03"/>
    </row>
    <row r="19" customFormat="false" ht="12.8" hidden="false" customHeight="false" outlineLevel="0" collapsed="false">
      <c r="A19" s="103"/>
      <c r="C19" s="103"/>
      <c r="D19" s="154" t="s">
        <v>675</v>
      </c>
      <c r="E19" s="154" t="s">
        <v>676</v>
      </c>
      <c r="F19" s="154" t="s">
        <v>675</v>
      </c>
      <c r="G19" s="154"/>
      <c r="H19" s="154"/>
      <c r="I19" s="157"/>
      <c r="J19" s="157"/>
      <c r="K19" s="157"/>
      <c r="L19" s="57"/>
      <c r="M19" s="57"/>
      <c r="N19" s="57"/>
      <c r="O19" s="57"/>
      <c r="P19" s="57"/>
      <c r="Q19" s="57"/>
      <c r="R19" s="57"/>
      <c r="S19" s="57"/>
      <c r="T19" s="103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03"/>
    </row>
    <row r="20" customFormat="false" ht="12.8" hidden="false" customHeight="true" outlineLevel="0" collapsed="false">
      <c r="A20" s="103"/>
      <c r="C20" s="103"/>
      <c r="D20" s="158" t="n">
        <v>1</v>
      </c>
      <c r="E20" s="153" t="s">
        <v>677</v>
      </c>
      <c r="F20" s="159" t="s">
        <v>678</v>
      </c>
      <c r="G20" s="159"/>
      <c r="H20" s="159"/>
      <c r="I20" s="157"/>
      <c r="J20" s="157"/>
      <c r="K20" s="157"/>
      <c r="L20" s="57"/>
      <c r="M20" s="57"/>
      <c r="N20" s="57"/>
      <c r="O20" s="57"/>
      <c r="P20" s="57"/>
      <c r="Q20" s="57"/>
      <c r="R20" s="57"/>
      <c r="S20" s="57"/>
      <c r="T20" s="103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03"/>
    </row>
    <row r="21" customFormat="false" ht="12.8" hidden="false" customHeight="false" outlineLevel="0" collapsed="false">
      <c r="A21" s="103"/>
      <c r="C21" s="103"/>
      <c r="D21" s="160" t="n">
        <v>0</v>
      </c>
      <c r="E21" s="153"/>
      <c r="F21" s="156" t="s">
        <v>679</v>
      </c>
      <c r="G21" s="156"/>
      <c r="H21" s="156"/>
      <c r="I21" s="157"/>
      <c r="J21" s="157"/>
      <c r="K21" s="157"/>
      <c r="L21" s="57"/>
      <c r="M21" s="57"/>
      <c r="N21" s="57"/>
      <c r="O21" s="57"/>
      <c r="P21" s="57"/>
      <c r="Q21" s="57"/>
      <c r="R21" s="57"/>
      <c r="S21" s="57"/>
      <c r="T21" s="103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03"/>
    </row>
    <row r="22" customFormat="false" ht="12.8" hidden="false" customHeight="false" outlineLevel="0" collapsed="false">
      <c r="A22" s="103"/>
      <c r="C22" s="103"/>
      <c r="D22" s="150" t="s">
        <v>673</v>
      </c>
      <c r="E22" s="150" t="s">
        <v>660</v>
      </c>
      <c r="F22" s="150"/>
      <c r="G22" s="150"/>
      <c r="H22" s="150" t="s">
        <v>661</v>
      </c>
      <c r="I22" s="150"/>
      <c r="J22" s="150"/>
      <c r="K22" s="150"/>
      <c r="L22" s="150"/>
      <c r="M22" s="150"/>
      <c r="N22" s="150"/>
      <c r="O22" s="150"/>
      <c r="P22" s="57"/>
      <c r="Q22" s="57"/>
      <c r="R22" s="57"/>
      <c r="S22" s="57"/>
      <c r="T22" s="103"/>
      <c r="U22" s="109" t="s">
        <v>661</v>
      </c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3"/>
    </row>
    <row r="23" customFormat="false" ht="12.8" hidden="false" customHeight="false" outlineLevel="0" collapsed="false">
      <c r="A23" s="103"/>
      <c r="C23" s="103"/>
      <c r="D23" s="151" t="n">
        <v>0</v>
      </c>
      <c r="E23" s="142" t="s">
        <v>607</v>
      </c>
      <c r="F23" s="142"/>
      <c r="G23" s="142"/>
      <c r="H23" s="152" t="s">
        <v>680</v>
      </c>
      <c r="I23" s="152"/>
      <c r="J23" s="152" t="s">
        <v>681</v>
      </c>
      <c r="K23" s="152"/>
      <c r="L23" s="152" t="s">
        <v>665</v>
      </c>
      <c r="M23" s="152"/>
      <c r="N23" s="152"/>
      <c r="O23" s="152"/>
      <c r="P23" s="57"/>
      <c r="Q23" s="57"/>
      <c r="R23" s="57"/>
      <c r="S23" s="57"/>
      <c r="T23" s="103"/>
      <c r="U23" s="161" t="s">
        <v>682</v>
      </c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03"/>
    </row>
    <row r="24" customFormat="false" ht="12.8" hidden="false" customHeight="false" outlineLevel="0" collapsed="false">
      <c r="A24" s="103"/>
      <c r="C24" s="103"/>
      <c r="D24" s="151"/>
      <c r="E24" s="57" t="s">
        <v>668</v>
      </c>
      <c r="F24" s="57"/>
      <c r="G24" s="57"/>
      <c r="H24" s="154" t="s">
        <v>683</v>
      </c>
      <c r="I24" s="154"/>
      <c r="J24" s="154" t="s">
        <v>684</v>
      </c>
      <c r="K24" s="154"/>
      <c r="L24" s="162" t="s">
        <v>685</v>
      </c>
      <c r="M24" s="162"/>
      <c r="N24" s="162"/>
      <c r="O24" s="162"/>
      <c r="P24" s="57"/>
      <c r="Q24" s="57"/>
      <c r="R24" s="57"/>
      <c r="S24" s="57"/>
      <c r="T24" s="103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03"/>
    </row>
    <row r="25" customFormat="false" ht="12.8" hidden="false" customHeight="false" outlineLevel="0" collapsed="false">
      <c r="A25" s="103"/>
      <c r="C25" s="103"/>
      <c r="D25" s="151"/>
      <c r="E25" s="151"/>
      <c r="F25" s="57"/>
      <c r="G25" s="57"/>
      <c r="H25" s="154"/>
      <c r="I25" s="154"/>
      <c r="J25" s="154"/>
      <c r="K25" s="154"/>
      <c r="L25" s="162"/>
      <c r="M25" s="162"/>
      <c r="N25" s="162"/>
      <c r="O25" s="162"/>
      <c r="P25" s="57"/>
      <c r="Q25" s="57"/>
      <c r="R25" s="57"/>
      <c r="S25" s="57"/>
      <c r="T25" s="103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03"/>
    </row>
    <row r="26" customFormat="false" ht="12.8" hidden="false" customHeight="false" outlineLevel="0" collapsed="false">
      <c r="A26" s="103"/>
      <c r="C26" s="103"/>
      <c r="D26" s="150" t="s">
        <v>673</v>
      </c>
      <c r="E26" s="150" t="s">
        <v>661</v>
      </c>
      <c r="F26" s="150"/>
      <c r="G26" s="150"/>
      <c r="H26" s="150" t="s">
        <v>660</v>
      </c>
      <c r="I26" s="150"/>
      <c r="J26" s="150"/>
      <c r="K26" s="150"/>
      <c r="L26" s="150"/>
      <c r="M26" s="150"/>
      <c r="N26" s="150"/>
      <c r="O26" s="150"/>
      <c r="P26" s="57"/>
      <c r="Q26" s="57"/>
      <c r="R26" s="57"/>
      <c r="S26" s="57"/>
      <c r="T26" s="103"/>
      <c r="U26" s="109" t="s">
        <v>660</v>
      </c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3"/>
    </row>
    <row r="27" customFormat="false" ht="12.8" hidden="false" customHeight="false" outlineLevel="0" collapsed="false">
      <c r="A27" s="103"/>
      <c r="C27" s="103"/>
      <c r="D27" s="151" t="n">
        <v>1</v>
      </c>
      <c r="E27" s="152" t="s">
        <v>607</v>
      </c>
      <c r="F27" s="152"/>
      <c r="G27" s="152"/>
      <c r="H27" s="142" t="s">
        <v>680</v>
      </c>
      <c r="I27" s="142"/>
      <c r="J27" s="142" t="s">
        <v>681</v>
      </c>
      <c r="K27" s="142"/>
      <c r="L27" s="142" t="s">
        <v>665</v>
      </c>
      <c r="M27" s="142"/>
      <c r="N27" s="142"/>
      <c r="O27" s="142"/>
      <c r="P27" s="57"/>
      <c r="Q27" s="57"/>
      <c r="R27" s="57"/>
      <c r="S27" s="57"/>
      <c r="T27" s="103"/>
      <c r="U27" s="161" t="s">
        <v>682</v>
      </c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03"/>
    </row>
    <row r="28" customFormat="false" ht="12.8" hidden="false" customHeight="false" outlineLevel="0" collapsed="false">
      <c r="A28" s="103"/>
      <c r="C28" s="103"/>
      <c r="D28" s="151"/>
      <c r="E28" s="162" t="s">
        <v>674</v>
      </c>
      <c r="F28" s="162"/>
      <c r="G28" s="162"/>
      <c r="H28" s="57" t="s">
        <v>683</v>
      </c>
      <c r="I28" s="57"/>
      <c r="J28" s="57" t="s">
        <v>684</v>
      </c>
      <c r="K28" s="57"/>
      <c r="L28" s="157" t="s">
        <v>685</v>
      </c>
      <c r="M28" s="157"/>
      <c r="N28" s="157"/>
      <c r="O28" s="157"/>
      <c r="P28" s="57"/>
      <c r="Q28" s="57"/>
      <c r="R28" s="57"/>
      <c r="S28" s="57"/>
      <c r="T28" s="103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03"/>
    </row>
    <row r="29" customFormat="false" ht="12.8" hidden="false" customHeight="false" outlineLevel="0" collapsed="false">
      <c r="A29" s="103"/>
      <c r="C29" s="103"/>
      <c r="D29" s="151"/>
      <c r="E29" s="162"/>
      <c r="F29" s="162"/>
      <c r="G29" s="162"/>
      <c r="H29" s="57"/>
      <c r="I29" s="57"/>
      <c r="J29" s="57"/>
      <c r="K29" s="57"/>
      <c r="L29" s="157"/>
      <c r="M29" s="157"/>
      <c r="N29" s="157"/>
      <c r="O29" s="157"/>
      <c r="P29" s="57"/>
      <c r="Q29" s="57"/>
      <c r="R29" s="57"/>
      <c r="S29" s="57"/>
      <c r="T29" s="103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03"/>
    </row>
    <row r="30" customFormat="false" ht="12.8" hidden="false" customHeight="false" outlineLevel="0" collapsed="false">
      <c r="A30" s="103"/>
      <c r="C30" s="103"/>
      <c r="D30" s="150" t="s">
        <v>660</v>
      </c>
      <c r="E30" s="150"/>
      <c r="F30" s="150"/>
      <c r="G30" s="109" t="s">
        <v>661</v>
      </c>
      <c r="H30" s="109"/>
      <c r="I30" s="109"/>
      <c r="J30" s="109"/>
      <c r="K30" s="109"/>
      <c r="L30" s="109"/>
      <c r="M30" s="109"/>
      <c r="N30" s="109"/>
      <c r="O30" s="109"/>
      <c r="P30" s="57"/>
      <c r="Q30" s="57"/>
      <c r="R30" s="57"/>
      <c r="S30" s="57"/>
      <c r="T30" s="103"/>
      <c r="U30" s="109" t="s">
        <v>661</v>
      </c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3"/>
    </row>
    <row r="31" customFormat="false" ht="12.8" hidden="false" customHeight="false" outlineLevel="0" collapsed="false">
      <c r="A31" s="103"/>
      <c r="C31" s="103"/>
      <c r="D31" s="57" t="s">
        <v>607</v>
      </c>
      <c r="E31" s="57"/>
      <c r="F31" s="57"/>
      <c r="G31" s="80" t="s">
        <v>686</v>
      </c>
      <c r="H31" s="152" t="s">
        <v>687</v>
      </c>
      <c r="I31" s="154" t="s">
        <v>607</v>
      </c>
      <c r="J31" s="154"/>
      <c r="K31" s="154"/>
      <c r="L31" s="152" t="s">
        <v>665</v>
      </c>
      <c r="M31" s="152"/>
      <c r="N31" s="152"/>
      <c r="O31" s="152"/>
      <c r="P31" s="57"/>
      <c r="Q31" s="57"/>
      <c r="R31" s="57"/>
      <c r="S31" s="57"/>
      <c r="T31" s="103"/>
      <c r="U31" s="161" t="s">
        <v>688</v>
      </c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03"/>
    </row>
    <row r="32" customFormat="false" ht="12.8" hidden="false" customHeight="false" outlineLevel="0" collapsed="false">
      <c r="A32" s="103"/>
      <c r="C32" s="103"/>
      <c r="D32" s="57" t="s">
        <v>668</v>
      </c>
      <c r="E32" s="57"/>
      <c r="F32" s="57"/>
      <c r="H32" s="163" t="s">
        <v>689</v>
      </c>
      <c r="I32" s="154" t="s">
        <v>690</v>
      </c>
      <c r="J32" s="154"/>
      <c r="K32" s="154"/>
      <c r="L32" s="162" t="s">
        <v>691</v>
      </c>
      <c r="M32" s="162"/>
      <c r="N32" s="162"/>
      <c r="O32" s="162"/>
      <c r="P32" s="57"/>
      <c r="Q32" s="57"/>
      <c r="R32" s="57"/>
      <c r="S32" s="57"/>
      <c r="T32" s="103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03"/>
    </row>
    <row r="33" customFormat="false" ht="12.8" hidden="false" customHeight="false" outlineLevel="0" collapsed="false">
      <c r="A33" s="103"/>
      <c r="C33" s="103"/>
      <c r="D33" s="57"/>
      <c r="E33" s="57"/>
      <c r="F33" s="57"/>
      <c r="H33" s="164" t="s">
        <v>692</v>
      </c>
      <c r="I33" s="154"/>
      <c r="J33" s="154"/>
      <c r="K33" s="154"/>
      <c r="L33" s="162"/>
      <c r="M33" s="162"/>
      <c r="N33" s="162"/>
      <c r="O33" s="162"/>
      <c r="P33" s="57"/>
      <c r="Q33" s="57"/>
      <c r="R33" s="57"/>
      <c r="S33" s="57"/>
      <c r="T33" s="103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03"/>
    </row>
    <row r="34" customFormat="false" ht="12.8" hidden="false" customHeight="false" outlineLevel="0" collapsed="false">
      <c r="A34" s="103"/>
      <c r="C34" s="103"/>
      <c r="D34" s="57"/>
      <c r="E34" s="57"/>
      <c r="F34" s="57"/>
      <c r="H34" s="152" t="s">
        <v>693</v>
      </c>
      <c r="I34" s="154" t="s">
        <v>694</v>
      </c>
      <c r="J34" s="154"/>
      <c r="K34" s="154"/>
      <c r="L34" s="152" t="s">
        <v>665</v>
      </c>
      <c r="M34" s="152"/>
      <c r="N34" s="152"/>
      <c r="O34" s="152"/>
      <c r="P34" s="57"/>
      <c r="Q34" s="57"/>
      <c r="R34" s="57"/>
      <c r="S34" s="57"/>
      <c r="T34" s="103"/>
      <c r="U34" s="154" t="s">
        <v>695</v>
      </c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03"/>
    </row>
    <row r="35" customFormat="false" ht="12.8" hidden="false" customHeight="false" outlineLevel="0" collapsed="false">
      <c r="A35" s="103"/>
      <c r="C35" s="103"/>
      <c r="D35" s="57"/>
      <c r="E35" s="57"/>
      <c r="F35" s="57"/>
      <c r="H35" s="163" t="s">
        <v>689</v>
      </c>
      <c r="I35" s="162" t="s">
        <v>696</v>
      </c>
      <c r="J35" s="162"/>
      <c r="K35" s="162"/>
      <c r="L35" s="154" t="s">
        <v>697</v>
      </c>
      <c r="M35" s="154"/>
      <c r="N35" s="154"/>
      <c r="O35" s="154"/>
      <c r="P35" s="57"/>
      <c r="Q35" s="57"/>
      <c r="R35" s="57"/>
      <c r="S35" s="57"/>
      <c r="T35" s="103"/>
      <c r="U35" s="161" t="s">
        <v>698</v>
      </c>
      <c r="V35" s="161"/>
      <c r="W35" s="161"/>
      <c r="X35" s="161"/>
      <c r="Y35" s="161"/>
      <c r="Z35" s="161"/>
      <c r="AA35" s="161"/>
      <c r="AB35" s="161"/>
      <c r="AC35" s="154" t="s">
        <v>699</v>
      </c>
      <c r="AD35" s="154"/>
      <c r="AE35" s="154"/>
      <c r="AF35" s="154"/>
      <c r="AG35" s="154"/>
      <c r="AH35" s="154"/>
      <c r="AI35" s="154"/>
      <c r="AJ35" s="154"/>
      <c r="AK35" s="103"/>
    </row>
    <row r="36" customFormat="false" ht="12.8" hidden="false" customHeight="false" outlineLevel="0" collapsed="false">
      <c r="A36" s="103"/>
      <c r="C36" s="103"/>
      <c r="D36" s="57"/>
      <c r="E36" s="57"/>
      <c r="F36" s="57"/>
      <c r="H36" s="164" t="s">
        <v>692</v>
      </c>
      <c r="I36" s="162"/>
      <c r="J36" s="162"/>
      <c r="K36" s="162"/>
      <c r="L36" s="154"/>
      <c r="M36" s="154"/>
      <c r="N36" s="154"/>
      <c r="O36" s="154"/>
      <c r="P36" s="57"/>
      <c r="Q36" s="57"/>
      <c r="R36" s="57"/>
      <c r="S36" s="57"/>
      <c r="T36" s="103"/>
      <c r="U36" s="154" t="s">
        <v>700</v>
      </c>
      <c r="V36" s="154"/>
      <c r="W36" s="154"/>
      <c r="X36" s="154"/>
      <c r="Y36" s="154"/>
      <c r="Z36" s="154"/>
      <c r="AA36" s="154"/>
      <c r="AB36" s="154"/>
      <c r="AC36" s="154" t="s">
        <v>701</v>
      </c>
      <c r="AD36" s="154"/>
      <c r="AE36" s="154"/>
      <c r="AF36" s="154"/>
      <c r="AG36" s="154"/>
      <c r="AH36" s="154"/>
      <c r="AI36" s="154"/>
      <c r="AJ36" s="154"/>
      <c r="AK36" s="103"/>
    </row>
    <row r="37" customFormat="false" ht="12.8" hidden="false" customHeight="false" outlineLevel="0" collapsed="false">
      <c r="A37" s="103"/>
      <c r="C37" s="103"/>
      <c r="D37" s="57"/>
      <c r="E37" s="57"/>
      <c r="F37" s="57"/>
      <c r="H37" s="163"/>
      <c r="I37" s="162"/>
      <c r="J37" s="162"/>
      <c r="K37" s="162"/>
      <c r="L37" s="154"/>
      <c r="M37" s="154"/>
      <c r="N37" s="154"/>
      <c r="O37" s="154"/>
      <c r="P37" s="57"/>
      <c r="Q37" s="57"/>
      <c r="R37" s="57"/>
      <c r="S37" s="57"/>
      <c r="T37" s="103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03"/>
    </row>
    <row r="38" customFormat="false" ht="12.8" hidden="false" customHeight="false" outlineLevel="0" collapsed="false">
      <c r="A38" s="103"/>
      <c r="C38" s="103"/>
      <c r="D38" s="57"/>
      <c r="E38" s="57"/>
      <c r="F38" s="57"/>
      <c r="G38" s="154" t="s">
        <v>675</v>
      </c>
      <c r="H38" s="154"/>
      <c r="I38" s="154"/>
      <c r="J38" s="154"/>
      <c r="K38" s="154"/>
      <c r="L38" s="152" t="s">
        <v>665</v>
      </c>
      <c r="M38" s="152"/>
      <c r="N38" s="152"/>
      <c r="O38" s="152"/>
      <c r="P38" s="57"/>
      <c r="Q38" s="57"/>
      <c r="R38" s="57"/>
      <c r="S38" s="57"/>
      <c r="T38" s="103"/>
      <c r="U38" s="161" t="s">
        <v>702</v>
      </c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03"/>
    </row>
    <row r="39" customFormat="false" ht="12.8" hidden="false" customHeight="false" outlineLevel="0" collapsed="false">
      <c r="A39" s="103"/>
      <c r="C39" s="103"/>
      <c r="D39" s="57"/>
      <c r="E39" s="57"/>
      <c r="F39" s="57"/>
      <c r="G39" s="165" t="n">
        <v>0</v>
      </c>
      <c r="H39" s="166" t="s">
        <v>703</v>
      </c>
      <c r="I39" s="166"/>
      <c r="J39" s="166"/>
      <c r="K39" s="166"/>
      <c r="L39" s="154" t="s">
        <v>704</v>
      </c>
      <c r="M39" s="154"/>
      <c r="N39" s="154"/>
      <c r="O39" s="154"/>
      <c r="P39" s="57"/>
      <c r="Q39" s="57"/>
      <c r="R39" s="57"/>
      <c r="S39" s="57"/>
      <c r="T39" s="103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03"/>
    </row>
    <row r="40" customFormat="false" ht="12.8" hidden="false" customHeight="false" outlineLevel="0" collapsed="false">
      <c r="A40" s="103"/>
      <c r="C40" s="103"/>
      <c r="D40" s="57"/>
      <c r="E40" s="57"/>
      <c r="F40" s="57"/>
      <c r="G40" s="167" t="n">
        <v>1</v>
      </c>
      <c r="H40" s="168" t="s">
        <v>705</v>
      </c>
      <c r="I40" s="168"/>
      <c r="J40" s="168"/>
      <c r="K40" s="168"/>
      <c r="L40" s="154"/>
      <c r="M40" s="154"/>
      <c r="N40" s="154"/>
      <c r="O40" s="154"/>
      <c r="P40" s="57"/>
      <c r="Q40" s="57"/>
      <c r="R40" s="57"/>
      <c r="S40" s="57"/>
      <c r="T40" s="103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03"/>
    </row>
    <row r="41" customFormat="false" ht="7.45" hidden="false" customHeight="true" outlineLevel="0" collapsed="false">
      <c r="A41" s="103"/>
      <c r="B41" s="103"/>
      <c r="C41" s="103"/>
      <c r="D41" s="103"/>
      <c r="E41" s="103"/>
      <c r="F41" s="103"/>
      <c r="G41" s="103"/>
      <c r="H41" s="103"/>
      <c r="I41" s="146"/>
      <c r="J41" s="103"/>
      <c r="K41" s="103"/>
      <c r="L41" s="112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</row>
    <row r="42" customFormat="false" ht="12.8" hidden="false" customHeight="false" outlineLevel="0" collapsed="false">
      <c r="A42" s="103"/>
      <c r="B42" s="0" t="s">
        <v>706</v>
      </c>
      <c r="C42" s="103"/>
      <c r="D42" s="150" t="s">
        <v>673</v>
      </c>
      <c r="E42" s="150" t="s">
        <v>660</v>
      </c>
      <c r="F42" s="150"/>
      <c r="G42" s="150"/>
      <c r="H42" s="150"/>
      <c r="I42" s="109" t="s">
        <v>661</v>
      </c>
      <c r="J42" s="109"/>
      <c r="K42" s="109"/>
      <c r="L42" s="109"/>
      <c r="M42" s="109"/>
      <c r="N42" s="109"/>
      <c r="O42" s="169" t="s">
        <v>707</v>
      </c>
      <c r="P42" s="57" t="s">
        <v>708</v>
      </c>
      <c r="Q42" s="57"/>
      <c r="R42" s="57"/>
      <c r="S42" s="57"/>
      <c r="T42" s="103"/>
      <c r="U42" s="109" t="s">
        <v>661</v>
      </c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3"/>
    </row>
    <row r="43" customFormat="false" ht="12.8" hidden="false" customHeight="true" outlineLevel="0" collapsed="false">
      <c r="A43" s="103"/>
      <c r="B43" s="0" t="s">
        <v>709</v>
      </c>
      <c r="C43" s="103"/>
      <c r="D43" s="151" t="n">
        <v>0</v>
      </c>
      <c r="E43" s="80" t="s">
        <v>607</v>
      </c>
      <c r="F43" s="142" t="s">
        <v>607</v>
      </c>
      <c r="G43" s="142"/>
      <c r="H43" s="142"/>
      <c r="I43" s="154" t="s">
        <v>664</v>
      </c>
      <c r="J43" s="154"/>
      <c r="K43" s="152" t="s">
        <v>665</v>
      </c>
      <c r="L43" s="152"/>
      <c r="M43" s="152"/>
      <c r="N43" s="152"/>
      <c r="O43" s="95" t="s">
        <v>689</v>
      </c>
      <c r="P43" s="57"/>
      <c r="Q43" s="57"/>
      <c r="R43" s="57"/>
      <c r="S43" s="57"/>
      <c r="T43" s="103"/>
      <c r="U43" s="153" t="s">
        <v>666</v>
      </c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03"/>
    </row>
    <row r="44" customFormat="false" ht="12.8" hidden="false" customHeight="false" outlineLevel="0" collapsed="false">
      <c r="A44" s="103"/>
      <c r="B44" s="0" t="s">
        <v>710</v>
      </c>
      <c r="C44" s="103"/>
      <c r="D44" s="151"/>
      <c r="E44" s="57" t="n">
        <v>0</v>
      </c>
      <c r="F44" s="157" t="s">
        <v>668</v>
      </c>
      <c r="G44" s="157"/>
      <c r="H44" s="157"/>
      <c r="I44" s="154" t="s">
        <v>711</v>
      </c>
      <c r="J44" s="154"/>
      <c r="K44" s="154" t="s">
        <v>670</v>
      </c>
      <c r="L44" s="154"/>
      <c r="M44" s="154"/>
      <c r="N44" s="154"/>
      <c r="O44" s="170" t="s">
        <v>692</v>
      </c>
      <c r="P44" s="57"/>
      <c r="Q44" s="57"/>
      <c r="R44" s="57"/>
      <c r="S44" s="57"/>
      <c r="T44" s="10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03"/>
    </row>
    <row r="45" customFormat="false" ht="12.8" hidden="false" customHeight="false" outlineLevel="0" collapsed="false">
      <c r="A45" s="103"/>
      <c r="C45" s="103"/>
      <c r="D45" s="151"/>
      <c r="E45" s="57"/>
      <c r="F45" s="157"/>
      <c r="G45" s="157"/>
      <c r="H45" s="157"/>
      <c r="I45" s="154"/>
      <c r="J45" s="154"/>
      <c r="K45" s="154"/>
      <c r="L45" s="154"/>
      <c r="M45" s="154"/>
      <c r="N45" s="154"/>
      <c r="O45" s="170"/>
      <c r="P45" s="57"/>
      <c r="Q45" s="57"/>
      <c r="R45" s="57"/>
      <c r="S45" s="57"/>
      <c r="T45" s="10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03"/>
    </row>
    <row r="46" customFormat="false" ht="12.8" hidden="false" customHeight="false" outlineLevel="0" collapsed="false">
      <c r="A46" s="103"/>
      <c r="C46" s="103"/>
      <c r="D46" s="150" t="s">
        <v>673</v>
      </c>
      <c r="E46" s="150" t="s">
        <v>661</v>
      </c>
      <c r="F46" s="150"/>
      <c r="G46" s="150"/>
      <c r="H46" s="150"/>
      <c r="I46" s="109" t="s">
        <v>660</v>
      </c>
      <c r="J46" s="109"/>
      <c r="K46" s="109"/>
      <c r="L46" s="109"/>
      <c r="M46" s="109"/>
      <c r="N46" s="109"/>
      <c r="O46" s="95"/>
      <c r="P46" s="57"/>
      <c r="Q46" s="57"/>
      <c r="R46" s="57"/>
      <c r="S46" s="57"/>
      <c r="T46" s="103"/>
      <c r="U46" s="109" t="s">
        <v>660</v>
      </c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3"/>
    </row>
    <row r="47" customFormat="false" ht="12.8" hidden="false" customHeight="true" outlineLevel="0" collapsed="false">
      <c r="A47" s="103"/>
      <c r="C47" s="103"/>
      <c r="D47" s="151" t="n">
        <v>1</v>
      </c>
      <c r="E47" s="152" t="s">
        <v>607</v>
      </c>
      <c r="F47" s="152" t="s">
        <v>607</v>
      </c>
      <c r="G47" s="152"/>
      <c r="H47" s="152"/>
      <c r="I47" s="57" t="s">
        <v>664</v>
      </c>
      <c r="J47" s="57"/>
      <c r="K47" s="142" t="s">
        <v>665</v>
      </c>
      <c r="L47" s="142"/>
      <c r="M47" s="142"/>
      <c r="N47" s="142"/>
      <c r="O47" s="95"/>
      <c r="P47" s="57"/>
      <c r="Q47" s="57"/>
      <c r="R47" s="57"/>
      <c r="S47" s="57"/>
      <c r="T47" s="103"/>
      <c r="U47" s="125" t="s">
        <v>666</v>
      </c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03"/>
    </row>
    <row r="48" customFormat="false" ht="12.8" hidden="false" customHeight="false" outlineLevel="0" collapsed="false">
      <c r="A48" s="103"/>
      <c r="C48" s="103"/>
      <c r="D48" s="151"/>
      <c r="E48" s="155" t="n">
        <v>0</v>
      </c>
      <c r="F48" s="162" t="s">
        <v>674</v>
      </c>
      <c r="G48" s="162"/>
      <c r="H48" s="162"/>
      <c r="I48" s="171" t="s">
        <v>711</v>
      </c>
      <c r="J48" s="171"/>
      <c r="K48" s="57" t="s">
        <v>670</v>
      </c>
      <c r="L48" s="57"/>
      <c r="M48" s="57"/>
      <c r="N48" s="57"/>
      <c r="O48" s="95"/>
      <c r="P48" s="57"/>
      <c r="Q48" s="57"/>
      <c r="R48" s="57"/>
      <c r="S48" s="57"/>
      <c r="T48" s="103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03"/>
    </row>
    <row r="49" customFormat="false" ht="12.8" hidden="false" customHeight="false" outlineLevel="0" collapsed="false">
      <c r="A49" s="103"/>
      <c r="C49" s="103"/>
      <c r="D49" s="151"/>
      <c r="E49" s="155"/>
      <c r="F49" s="162"/>
      <c r="G49" s="162"/>
      <c r="H49" s="162"/>
      <c r="I49" s="171"/>
      <c r="J49" s="171"/>
      <c r="K49" s="57"/>
      <c r="L49" s="57"/>
      <c r="M49" s="57"/>
      <c r="N49" s="57"/>
      <c r="O49" s="95"/>
      <c r="P49" s="57"/>
      <c r="Q49" s="57"/>
      <c r="R49" s="57"/>
      <c r="S49" s="57"/>
      <c r="T49" s="103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03"/>
    </row>
    <row r="50" customFormat="false" ht="12.8" hidden="false" customHeight="false" outlineLevel="0" collapsed="false">
      <c r="A50" s="103"/>
      <c r="C50" s="103"/>
      <c r="D50" s="154" t="s">
        <v>675</v>
      </c>
      <c r="E50" s="154" t="s">
        <v>676</v>
      </c>
      <c r="F50" s="154" t="s">
        <v>675</v>
      </c>
      <c r="G50" s="154"/>
      <c r="H50" s="154"/>
      <c r="I50" s="171"/>
      <c r="J50" s="171"/>
      <c r="K50" s="57"/>
      <c r="L50" s="57"/>
      <c r="M50" s="57"/>
      <c r="N50" s="57"/>
      <c r="O50" s="95"/>
      <c r="P50" s="57"/>
      <c r="Q50" s="57"/>
      <c r="R50" s="57"/>
      <c r="S50" s="57"/>
      <c r="T50" s="103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03"/>
    </row>
    <row r="51" customFormat="false" ht="12.8" hidden="false" customHeight="true" outlineLevel="0" collapsed="false">
      <c r="A51" s="103"/>
      <c r="C51" s="103"/>
      <c r="D51" s="158" t="n">
        <v>0</v>
      </c>
      <c r="E51" s="153" t="s">
        <v>677</v>
      </c>
      <c r="F51" s="172" t="s">
        <v>679</v>
      </c>
      <c r="G51" s="172"/>
      <c r="H51" s="172"/>
      <c r="I51" s="171"/>
      <c r="J51" s="171"/>
      <c r="K51" s="57"/>
      <c r="L51" s="57"/>
      <c r="M51" s="57"/>
      <c r="N51" s="57"/>
      <c r="O51" s="95"/>
      <c r="P51" s="57"/>
      <c r="Q51" s="57"/>
      <c r="R51" s="57"/>
      <c r="S51" s="57"/>
      <c r="T51" s="103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03"/>
    </row>
    <row r="52" customFormat="false" ht="12.8" hidden="false" customHeight="false" outlineLevel="0" collapsed="false">
      <c r="A52" s="103"/>
      <c r="C52" s="103"/>
      <c r="D52" s="160" t="n">
        <v>1</v>
      </c>
      <c r="E52" s="153"/>
      <c r="F52" s="173" t="s">
        <v>678</v>
      </c>
      <c r="G52" s="173"/>
      <c r="H52" s="173"/>
      <c r="I52" s="171"/>
      <c r="J52" s="171"/>
      <c r="K52" s="57"/>
      <c r="L52" s="57"/>
      <c r="M52" s="57"/>
      <c r="N52" s="57"/>
      <c r="O52" s="95"/>
      <c r="P52" s="57"/>
      <c r="Q52" s="57"/>
      <c r="R52" s="57"/>
      <c r="S52" s="57"/>
      <c r="T52" s="103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03"/>
    </row>
    <row r="53" customFormat="false" ht="12.8" hidden="false" customHeight="false" outlineLevel="0" collapsed="false">
      <c r="A53" s="103"/>
      <c r="C53" s="103"/>
      <c r="D53" s="150" t="s">
        <v>673</v>
      </c>
      <c r="E53" s="150" t="s">
        <v>660</v>
      </c>
      <c r="F53" s="150"/>
      <c r="G53" s="150"/>
      <c r="H53" s="109" t="s">
        <v>661</v>
      </c>
      <c r="I53" s="109"/>
      <c r="J53" s="109"/>
      <c r="K53" s="109"/>
      <c r="L53" s="109"/>
      <c r="M53" s="109"/>
      <c r="N53" s="109"/>
      <c r="O53" s="95"/>
      <c r="P53" s="57"/>
      <c r="Q53" s="57"/>
      <c r="R53" s="57"/>
      <c r="S53" s="57"/>
      <c r="T53" s="103"/>
      <c r="U53" s="109" t="s">
        <v>661</v>
      </c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3"/>
    </row>
    <row r="54" customFormat="false" ht="12.8" hidden="false" customHeight="false" outlineLevel="0" collapsed="false">
      <c r="A54" s="103"/>
      <c r="C54" s="103"/>
      <c r="D54" s="151" t="n">
        <v>0</v>
      </c>
      <c r="E54" s="142" t="s">
        <v>607</v>
      </c>
      <c r="F54" s="142"/>
      <c r="G54" s="142"/>
      <c r="H54" s="174" t="s">
        <v>712</v>
      </c>
      <c r="I54" s="152" t="s">
        <v>681</v>
      </c>
      <c r="J54" s="152"/>
      <c r="K54" s="152" t="s">
        <v>665</v>
      </c>
      <c r="L54" s="152"/>
      <c r="M54" s="152"/>
      <c r="N54" s="152"/>
      <c r="O54" s="95"/>
      <c r="P54" s="57"/>
      <c r="Q54" s="57"/>
      <c r="R54" s="57"/>
      <c r="S54" s="57"/>
      <c r="T54" s="103"/>
      <c r="U54" s="161" t="s">
        <v>682</v>
      </c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03"/>
    </row>
    <row r="55" customFormat="false" ht="12.8" hidden="false" customHeight="false" outlineLevel="0" collapsed="false">
      <c r="A55" s="103"/>
      <c r="C55" s="103"/>
      <c r="D55" s="151"/>
      <c r="E55" s="157" t="s">
        <v>668</v>
      </c>
      <c r="F55" s="157"/>
      <c r="G55" s="157"/>
      <c r="H55" s="155" t="s">
        <v>713</v>
      </c>
      <c r="I55" s="175" t="s">
        <v>684</v>
      </c>
      <c r="J55" s="175"/>
      <c r="K55" s="162" t="s">
        <v>685</v>
      </c>
      <c r="L55" s="162"/>
      <c r="M55" s="162"/>
      <c r="N55" s="162"/>
      <c r="O55" s="95"/>
      <c r="P55" s="57"/>
      <c r="Q55" s="57"/>
      <c r="R55" s="57"/>
      <c r="S55" s="57"/>
      <c r="T55" s="103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03"/>
    </row>
    <row r="56" customFormat="false" ht="12.8" hidden="false" customHeight="false" outlineLevel="0" collapsed="false">
      <c r="A56" s="103"/>
      <c r="C56" s="103"/>
      <c r="D56" s="151"/>
      <c r="E56" s="151"/>
      <c r="F56" s="157"/>
      <c r="G56" s="157"/>
      <c r="H56" s="155"/>
      <c r="I56" s="175"/>
      <c r="J56" s="175"/>
      <c r="K56" s="162"/>
      <c r="L56" s="162"/>
      <c r="M56" s="162"/>
      <c r="N56" s="162"/>
      <c r="O56" s="95"/>
      <c r="P56" s="57"/>
      <c r="Q56" s="57"/>
      <c r="R56" s="57"/>
      <c r="S56" s="57"/>
      <c r="T56" s="103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03"/>
    </row>
    <row r="57" customFormat="false" ht="12.8" hidden="false" customHeight="false" outlineLevel="0" collapsed="false">
      <c r="A57" s="103"/>
      <c r="C57" s="103"/>
      <c r="D57" s="150" t="s">
        <v>673</v>
      </c>
      <c r="E57" s="150" t="s">
        <v>661</v>
      </c>
      <c r="F57" s="150"/>
      <c r="G57" s="150"/>
      <c r="H57" s="109" t="s">
        <v>660</v>
      </c>
      <c r="I57" s="109"/>
      <c r="J57" s="109"/>
      <c r="K57" s="109"/>
      <c r="L57" s="109"/>
      <c r="M57" s="109"/>
      <c r="N57" s="109"/>
      <c r="O57" s="95"/>
      <c r="P57" s="57"/>
      <c r="Q57" s="57"/>
      <c r="R57" s="57"/>
      <c r="S57" s="57"/>
      <c r="T57" s="103"/>
      <c r="U57" s="109" t="s">
        <v>660</v>
      </c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3"/>
    </row>
    <row r="58" customFormat="false" ht="12.8" hidden="false" customHeight="false" outlineLevel="0" collapsed="false">
      <c r="A58" s="103"/>
      <c r="C58" s="103"/>
      <c r="D58" s="151" t="n">
        <v>1</v>
      </c>
      <c r="E58" s="152" t="s">
        <v>607</v>
      </c>
      <c r="F58" s="152"/>
      <c r="G58" s="152"/>
      <c r="H58" s="30" t="s">
        <v>712</v>
      </c>
      <c r="I58" s="142" t="s">
        <v>681</v>
      </c>
      <c r="J58" s="142"/>
      <c r="K58" s="142" t="s">
        <v>665</v>
      </c>
      <c r="L58" s="142"/>
      <c r="M58" s="142"/>
      <c r="N58" s="142"/>
      <c r="O58" s="95"/>
      <c r="P58" s="57"/>
      <c r="Q58" s="57"/>
      <c r="R58" s="57"/>
      <c r="S58" s="57"/>
      <c r="T58" s="103"/>
      <c r="U58" s="161" t="s">
        <v>682</v>
      </c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03"/>
    </row>
    <row r="59" customFormat="false" ht="12.8" hidden="false" customHeight="false" outlineLevel="0" collapsed="false">
      <c r="A59" s="103"/>
      <c r="C59" s="103"/>
      <c r="D59" s="151"/>
      <c r="E59" s="162" t="s">
        <v>674</v>
      </c>
      <c r="F59" s="162"/>
      <c r="G59" s="162"/>
      <c r="H59" s="57" t="s">
        <v>713</v>
      </c>
      <c r="I59" s="176" t="s">
        <v>684</v>
      </c>
      <c r="J59" s="176"/>
      <c r="K59" s="57" t="s">
        <v>685</v>
      </c>
      <c r="L59" s="57"/>
      <c r="M59" s="57"/>
      <c r="N59" s="57"/>
      <c r="O59" s="95"/>
      <c r="P59" s="57"/>
      <c r="Q59" s="57"/>
      <c r="R59" s="57"/>
      <c r="S59" s="57"/>
      <c r="T59" s="103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03"/>
    </row>
    <row r="60" customFormat="false" ht="12.8" hidden="false" customHeight="false" outlineLevel="0" collapsed="false">
      <c r="A60" s="103"/>
      <c r="C60" s="103"/>
      <c r="D60" s="151"/>
      <c r="E60" s="162"/>
      <c r="F60" s="162"/>
      <c r="G60" s="162"/>
      <c r="H60" s="57"/>
      <c r="I60" s="176"/>
      <c r="J60" s="176"/>
      <c r="K60" s="57"/>
      <c r="L60" s="57"/>
      <c r="M60" s="57"/>
      <c r="N60" s="57"/>
      <c r="O60" s="95"/>
      <c r="P60" s="57"/>
      <c r="Q60" s="57"/>
      <c r="R60" s="57"/>
      <c r="S60" s="57"/>
      <c r="T60" s="103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03"/>
    </row>
    <row r="61" customFormat="false" ht="12.8" hidden="false" customHeight="false" outlineLevel="0" collapsed="false">
      <c r="A61" s="103"/>
      <c r="C61" s="103"/>
      <c r="D61" s="150" t="s">
        <v>660</v>
      </c>
      <c r="E61" s="150"/>
      <c r="F61" s="150"/>
      <c r="G61" s="109" t="s">
        <v>661</v>
      </c>
      <c r="H61" s="109"/>
      <c r="I61" s="109"/>
      <c r="J61" s="109"/>
      <c r="K61" s="109"/>
      <c r="L61" s="109"/>
      <c r="M61" s="109"/>
      <c r="N61" s="109"/>
      <c r="O61" s="95"/>
      <c r="P61" s="57"/>
      <c r="Q61" s="57"/>
      <c r="R61" s="57"/>
      <c r="S61" s="57"/>
      <c r="T61" s="103"/>
      <c r="U61" s="109" t="s">
        <v>661</v>
      </c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3"/>
    </row>
    <row r="62" customFormat="false" ht="12.8" hidden="false" customHeight="false" outlineLevel="0" collapsed="false">
      <c r="A62" s="103"/>
      <c r="C62" s="103"/>
      <c r="D62" s="57" t="s">
        <v>607</v>
      </c>
      <c r="E62" s="57"/>
      <c r="F62" s="57"/>
      <c r="G62" s="80" t="s">
        <v>686</v>
      </c>
      <c r="H62" s="154" t="s">
        <v>607</v>
      </c>
      <c r="I62" s="154"/>
      <c r="J62" s="154"/>
      <c r="K62" s="152" t="s">
        <v>665</v>
      </c>
      <c r="L62" s="152"/>
      <c r="M62" s="152"/>
      <c r="N62" s="152"/>
      <c r="O62" s="95"/>
      <c r="P62" s="57"/>
      <c r="Q62" s="57"/>
      <c r="R62" s="57"/>
      <c r="S62" s="57"/>
      <c r="T62" s="103"/>
      <c r="U62" s="161" t="s">
        <v>682</v>
      </c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03"/>
    </row>
    <row r="63" customFormat="false" ht="12.8" hidden="false" customHeight="false" outlineLevel="0" collapsed="false">
      <c r="A63" s="103"/>
      <c r="C63" s="103"/>
      <c r="D63" s="57" t="s">
        <v>668</v>
      </c>
      <c r="E63" s="57"/>
      <c r="F63" s="57"/>
      <c r="H63" s="154" t="s">
        <v>690</v>
      </c>
      <c r="I63" s="154"/>
      <c r="J63" s="154"/>
      <c r="K63" s="154" t="s">
        <v>691</v>
      </c>
      <c r="L63" s="154"/>
      <c r="M63" s="154"/>
      <c r="N63" s="154"/>
      <c r="O63" s="95"/>
      <c r="P63" s="57"/>
      <c r="Q63" s="57"/>
      <c r="R63" s="57"/>
      <c r="S63" s="57"/>
      <c r="T63" s="103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03"/>
    </row>
    <row r="64" customFormat="false" ht="12.8" hidden="false" customHeight="false" outlineLevel="0" collapsed="false">
      <c r="A64" s="103"/>
      <c r="C64" s="103"/>
      <c r="D64" s="57"/>
      <c r="E64" s="57"/>
      <c r="F64" s="57"/>
      <c r="H64" s="154"/>
      <c r="I64" s="154"/>
      <c r="J64" s="154"/>
      <c r="K64" s="154"/>
      <c r="L64" s="154"/>
      <c r="M64" s="154"/>
      <c r="N64" s="154"/>
      <c r="O64" s="95"/>
      <c r="P64" s="57"/>
      <c r="Q64" s="57"/>
      <c r="R64" s="57"/>
      <c r="S64" s="57"/>
      <c r="T64" s="103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03"/>
    </row>
    <row r="65" customFormat="false" ht="12.8" hidden="false" customHeight="false" outlineLevel="0" collapsed="false">
      <c r="A65" s="103"/>
      <c r="C65" s="103"/>
      <c r="D65" s="57"/>
      <c r="E65" s="57"/>
      <c r="F65" s="57"/>
      <c r="H65" s="154" t="s">
        <v>694</v>
      </c>
      <c r="I65" s="154"/>
      <c r="J65" s="154"/>
      <c r="K65" s="152" t="s">
        <v>665</v>
      </c>
      <c r="L65" s="152"/>
      <c r="M65" s="152"/>
      <c r="N65" s="152"/>
      <c r="O65" s="95"/>
      <c r="P65" s="57"/>
      <c r="Q65" s="57"/>
      <c r="R65" s="57"/>
      <c r="S65" s="57"/>
      <c r="T65" s="103"/>
      <c r="U65" s="154" t="s">
        <v>695</v>
      </c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03"/>
    </row>
    <row r="66" customFormat="false" ht="12.8" hidden="false" customHeight="false" outlineLevel="0" collapsed="false">
      <c r="A66" s="103"/>
      <c r="C66" s="103"/>
      <c r="D66" s="57"/>
      <c r="E66" s="57"/>
      <c r="F66" s="57"/>
      <c r="H66" s="154" t="s">
        <v>696</v>
      </c>
      <c r="I66" s="154"/>
      <c r="J66" s="154"/>
      <c r="K66" s="154" t="s">
        <v>697</v>
      </c>
      <c r="L66" s="154"/>
      <c r="M66" s="154"/>
      <c r="N66" s="154"/>
      <c r="O66" s="95"/>
      <c r="P66" s="57"/>
      <c r="Q66" s="57"/>
      <c r="R66" s="57"/>
      <c r="S66" s="57"/>
      <c r="T66" s="103"/>
      <c r="U66" s="161" t="s">
        <v>698</v>
      </c>
      <c r="V66" s="161"/>
      <c r="W66" s="161"/>
      <c r="X66" s="161"/>
      <c r="Y66" s="161"/>
      <c r="Z66" s="161"/>
      <c r="AA66" s="161"/>
      <c r="AB66" s="161"/>
      <c r="AC66" s="154" t="s">
        <v>699</v>
      </c>
      <c r="AD66" s="154"/>
      <c r="AE66" s="154"/>
      <c r="AF66" s="154"/>
      <c r="AG66" s="154"/>
      <c r="AH66" s="154"/>
      <c r="AI66" s="154"/>
      <c r="AJ66" s="154"/>
      <c r="AK66" s="103"/>
    </row>
    <row r="67" customFormat="false" ht="12.8" hidden="false" customHeight="false" outlineLevel="0" collapsed="false">
      <c r="A67" s="103"/>
      <c r="C67" s="103"/>
      <c r="D67" s="57"/>
      <c r="E67" s="57"/>
      <c r="F67" s="57"/>
      <c r="H67" s="154"/>
      <c r="I67" s="154"/>
      <c r="J67" s="154"/>
      <c r="K67" s="154"/>
      <c r="L67" s="154"/>
      <c r="M67" s="154"/>
      <c r="N67" s="154"/>
      <c r="O67" s="95"/>
      <c r="P67" s="57"/>
      <c r="Q67" s="57"/>
      <c r="R67" s="57"/>
      <c r="S67" s="57"/>
      <c r="T67" s="103"/>
      <c r="U67" s="154" t="s">
        <v>700</v>
      </c>
      <c r="V67" s="154"/>
      <c r="W67" s="154"/>
      <c r="X67" s="154"/>
      <c r="Y67" s="154"/>
      <c r="Z67" s="154"/>
      <c r="AA67" s="154"/>
      <c r="AB67" s="154"/>
      <c r="AC67" s="154" t="s">
        <v>701</v>
      </c>
      <c r="AD67" s="154"/>
      <c r="AE67" s="154"/>
      <c r="AF67" s="154"/>
      <c r="AG67" s="154"/>
      <c r="AH67" s="154"/>
      <c r="AI67" s="154"/>
      <c r="AJ67" s="154"/>
      <c r="AK67" s="103"/>
    </row>
    <row r="68" customFormat="false" ht="12.8" hidden="false" customHeight="false" outlineLevel="0" collapsed="false">
      <c r="A68" s="103"/>
      <c r="C68" s="103"/>
      <c r="D68" s="57"/>
      <c r="E68" s="57"/>
      <c r="F68" s="57"/>
      <c r="H68" s="154"/>
      <c r="I68" s="154"/>
      <c r="J68" s="154"/>
      <c r="K68" s="154"/>
      <c r="L68" s="154"/>
      <c r="M68" s="154"/>
      <c r="N68" s="154"/>
      <c r="O68" s="95"/>
      <c r="P68" s="57"/>
      <c r="Q68" s="57"/>
      <c r="R68" s="57"/>
      <c r="S68" s="57"/>
      <c r="T68" s="103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03"/>
    </row>
    <row r="69" customFormat="false" ht="12.8" hidden="false" customHeight="false" outlineLevel="0" collapsed="false">
      <c r="A69" s="103"/>
      <c r="C69" s="103"/>
      <c r="D69" s="57"/>
      <c r="E69" s="57"/>
      <c r="F69" s="57"/>
      <c r="G69" s="154" t="s">
        <v>675</v>
      </c>
      <c r="H69" s="154"/>
      <c r="I69" s="154"/>
      <c r="J69" s="154"/>
      <c r="K69" s="152" t="s">
        <v>665</v>
      </c>
      <c r="L69" s="152"/>
      <c r="M69" s="152"/>
      <c r="N69" s="152"/>
      <c r="O69" s="95"/>
      <c r="P69" s="57"/>
      <c r="Q69" s="57"/>
      <c r="R69" s="57"/>
      <c r="S69" s="57"/>
      <c r="T69" s="103"/>
      <c r="U69" s="161" t="s">
        <v>702</v>
      </c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03"/>
    </row>
    <row r="70" customFormat="false" ht="12.8" hidden="false" customHeight="false" outlineLevel="0" collapsed="false">
      <c r="A70" s="103"/>
      <c r="C70" s="103"/>
      <c r="D70" s="57"/>
      <c r="E70" s="57"/>
      <c r="F70" s="57"/>
      <c r="G70" s="165" t="n">
        <v>0</v>
      </c>
      <c r="H70" s="177" t="s">
        <v>679</v>
      </c>
      <c r="I70" s="177"/>
      <c r="J70" s="177"/>
      <c r="K70" s="154" t="s">
        <v>704</v>
      </c>
      <c r="L70" s="154"/>
      <c r="M70" s="154"/>
      <c r="N70" s="154"/>
      <c r="O70" s="95"/>
      <c r="P70" s="57"/>
      <c r="Q70" s="57"/>
      <c r="R70" s="57"/>
      <c r="S70" s="57"/>
      <c r="T70" s="103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03"/>
    </row>
    <row r="71" customFormat="false" ht="12.8" hidden="false" customHeight="false" outlineLevel="0" collapsed="false">
      <c r="A71" s="103"/>
      <c r="C71" s="103"/>
      <c r="D71" s="57"/>
      <c r="E71" s="57"/>
      <c r="F71" s="57"/>
      <c r="G71" s="167" t="n">
        <v>1</v>
      </c>
      <c r="H71" s="178" t="s">
        <v>678</v>
      </c>
      <c r="I71" s="178"/>
      <c r="J71" s="178"/>
      <c r="K71" s="154"/>
      <c r="L71" s="154"/>
      <c r="M71" s="154"/>
      <c r="N71" s="154"/>
      <c r="O71" s="94"/>
      <c r="P71" s="57"/>
      <c r="Q71" s="57"/>
      <c r="R71" s="57"/>
      <c r="S71" s="57"/>
      <c r="T71" s="103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03"/>
    </row>
    <row r="72" customFormat="false" ht="7.45" hidden="false" customHeight="true" outlineLevel="0" collapsed="false">
      <c r="A72" s="103"/>
      <c r="B72" s="103"/>
      <c r="C72" s="103"/>
      <c r="D72" s="103"/>
      <c r="E72" s="103"/>
      <c r="F72" s="103"/>
      <c r="G72" s="103"/>
      <c r="H72" s="103"/>
      <c r="I72" s="146"/>
      <c r="J72" s="103"/>
      <c r="K72" s="103"/>
      <c r="L72" s="112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</row>
    <row r="73" customFormat="false" ht="12.8" hidden="false" customHeight="false" outlineLevel="0" collapsed="false">
      <c r="A73" s="103"/>
      <c r="B73" s="0" t="s">
        <v>301</v>
      </c>
      <c r="C73" s="103"/>
      <c r="D73" s="150" t="s">
        <v>660</v>
      </c>
      <c r="E73" s="150"/>
      <c r="F73" s="150"/>
      <c r="G73" s="150" t="s">
        <v>661</v>
      </c>
      <c r="H73" s="150"/>
      <c r="I73" s="150"/>
      <c r="J73" s="109" t="s">
        <v>714</v>
      </c>
      <c r="K73" s="109"/>
      <c r="L73" s="109"/>
      <c r="M73" s="109"/>
      <c r="N73" s="80" t="s">
        <v>686</v>
      </c>
      <c r="O73" s="169" t="s">
        <v>707</v>
      </c>
      <c r="P73" s="57" t="s">
        <v>715</v>
      </c>
      <c r="Q73" s="57"/>
      <c r="R73" s="57"/>
      <c r="S73" s="57"/>
      <c r="T73" s="103"/>
      <c r="U73" s="109" t="s">
        <v>660</v>
      </c>
      <c r="V73" s="109"/>
      <c r="W73" s="109"/>
      <c r="X73" s="109"/>
      <c r="Y73" s="109"/>
      <c r="Z73" s="109"/>
      <c r="AA73" s="109"/>
      <c r="AB73" s="80" t="s">
        <v>686</v>
      </c>
      <c r="AC73" s="109" t="s">
        <v>661</v>
      </c>
      <c r="AD73" s="109"/>
      <c r="AE73" s="109"/>
      <c r="AF73" s="109"/>
      <c r="AG73" s="109"/>
      <c r="AH73" s="109"/>
      <c r="AI73" s="109"/>
      <c r="AJ73" s="80" t="s">
        <v>686</v>
      </c>
      <c r="AK73" s="103"/>
    </row>
    <row r="74" customFormat="false" ht="12.8" hidden="false" customHeight="false" outlineLevel="0" collapsed="false">
      <c r="A74" s="103"/>
      <c r="C74" s="103"/>
      <c r="D74" s="57" t="s">
        <v>607</v>
      </c>
      <c r="E74" s="57"/>
      <c r="F74" s="57"/>
      <c r="G74" s="154" t="s">
        <v>607</v>
      </c>
      <c r="H74" s="154"/>
      <c r="I74" s="154"/>
      <c r="J74" s="57" t="s">
        <v>716</v>
      </c>
      <c r="K74" s="57" t="s">
        <v>717</v>
      </c>
      <c r="L74" s="57"/>
      <c r="M74" s="57"/>
      <c r="N74" s="93"/>
      <c r="O74" s="110" t="s">
        <v>718</v>
      </c>
      <c r="P74" s="57"/>
      <c r="Q74" s="57"/>
      <c r="R74" s="57"/>
      <c r="S74" s="57"/>
      <c r="T74" s="103"/>
      <c r="U74" s="57" t="s">
        <v>719</v>
      </c>
      <c r="V74" s="57" t="s">
        <v>720</v>
      </c>
      <c r="W74" s="57"/>
      <c r="X74" s="57"/>
      <c r="Y74" s="57"/>
      <c r="Z74" s="57"/>
      <c r="AA74" s="57"/>
      <c r="AB74" s="93"/>
      <c r="AC74" s="154" t="s">
        <v>719</v>
      </c>
      <c r="AD74" s="154" t="s">
        <v>720</v>
      </c>
      <c r="AE74" s="154"/>
      <c r="AF74" s="154"/>
      <c r="AG74" s="154"/>
      <c r="AH74" s="154"/>
      <c r="AI74" s="154"/>
      <c r="AJ74" s="93"/>
      <c r="AK74" s="103"/>
    </row>
    <row r="75" customFormat="false" ht="12.8" hidden="false" customHeight="false" outlineLevel="0" collapsed="false">
      <c r="A75" s="103"/>
      <c r="C75" s="103"/>
      <c r="D75" s="57" t="s">
        <v>668</v>
      </c>
      <c r="E75" s="57"/>
      <c r="F75" s="57"/>
      <c r="G75" s="154" t="s">
        <v>668</v>
      </c>
      <c r="H75" s="154"/>
      <c r="I75" s="154"/>
      <c r="J75" s="179" t="s">
        <v>721</v>
      </c>
      <c r="K75" s="57" t="s">
        <v>607</v>
      </c>
      <c r="L75" s="57"/>
      <c r="M75" s="57"/>
      <c r="N75" s="95"/>
      <c r="O75" s="110"/>
      <c r="P75" s="57"/>
      <c r="Q75" s="57"/>
      <c r="R75" s="57"/>
      <c r="S75" s="57"/>
      <c r="T75" s="103"/>
      <c r="U75" s="179" t="s">
        <v>721</v>
      </c>
      <c r="V75" s="57" t="s">
        <v>607</v>
      </c>
      <c r="W75" s="57"/>
      <c r="X75" s="57"/>
      <c r="Y75" s="57" t="s">
        <v>722</v>
      </c>
      <c r="Z75" s="57"/>
      <c r="AA75" s="57"/>
      <c r="AB75" s="95"/>
      <c r="AC75" s="180" t="s">
        <v>721</v>
      </c>
      <c r="AD75" s="154" t="s">
        <v>607</v>
      </c>
      <c r="AE75" s="154"/>
      <c r="AF75" s="154"/>
      <c r="AG75" s="154" t="s">
        <v>722</v>
      </c>
      <c r="AH75" s="154"/>
      <c r="AI75" s="154"/>
      <c r="AJ75" s="95"/>
      <c r="AK75" s="103"/>
    </row>
    <row r="76" customFormat="false" ht="12.8" hidden="false" customHeight="false" outlineLevel="0" collapsed="false">
      <c r="A76" s="103"/>
      <c r="C76" s="103"/>
      <c r="D76" s="57"/>
      <c r="E76" s="57"/>
      <c r="F76" s="57"/>
      <c r="G76" s="154"/>
      <c r="H76" s="154"/>
      <c r="I76" s="154"/>
      <c r="J76" s="95"/>
      <c r="K76" s="157" t="s">
        <v>668</v>
      </c>
      <c r="L76" s="157"/>
      <c r="M76" s="157"/>
      <c r="N76" s="95"/>
      <c r="O76" s="110"/>
      <c r="P76" s="57"/>
      <c r="Q76" s="57"/>
      <c r="R76" s="57"/>
      <c r="S76" s="57"/>
      <c r="T76" s="103"/>
      <c r="U76" s="181"/>
      <c r="V76" s="57" t="s">
        <v>668</v>
      </c>
      <c r="W76" s="57"/>
      <c r="X76" s="57"/>
      <c r="Y76" s="182"/>
      <c r="Z76" s="183"/>
      <c r="AA76" s="184"/>
      <c r="AB76" s="95"/>
      <c r="AC76" s="185"/>
      <c r="AD76" s="154" t="s">
        <v>668</v>
      </c>
      <c r="AE76" s="154"/>
      <c r="AF76" s="154"/>
      <c r="AG76" s="186"/>
      <c r="AH76" s="187"/>
      <c r="AI76" s="188"/>
      <c r="AJ76" s="95"/>
      <c r="AK76" s="103"/>
    </row>
    <row r="77" customFormat="false" ht="12.8" hidden="false" customHeight="false" outlineLevel="0" collapsed="false">
      <c r="A77" s="103"/>
      <c r="C77" s="103"/>
      <c r="D77" s="57"/>
      <c r="E77" s="57"/>
      <c r="F77" s="57"/>
      <c r="G77" s="154"/>
      <c r="H77" s="154"/>
      <c r="I77" s="154"/>
      <c r="J77" s="95"/>
      <c r="K77" s="157"/>
      <c r="L77" s="157"/>
      <c r="M77" s="157"/>
      <c r="N77" s="95"/>
      <c r="O77" s="110"/>
      <c r="P77" s="57"/>
      <c r="Q77" s="57"/>
      <c r="R77" s="57"/>
      <c r="S77" s="57"/>
      <c r="T77" s="103"/>
      <c r="U77" s="181"/>
      <c r="V77" s="57"/>
      <c r="W77" s="57"/>
      <c r="X77" s="57"/>
      <c r="Y77" s="189"/>
      <c r="Z77" s="190"/>
      <c r="AA77" s="191"/>
      <c r="AB77" s="95"/>
      <c r="AC77" s="185"/>
      <c r="AD77" s="154"/>
      <c r="AE77" s="154"/>
      <c r="AF77" s="154"/>
      <c r="AG77" s="192"/>
      <c r="AH77" s="193"/>
      <c r="AI77" s="194"/>
      <c r="AJ77" s="95"/>
      <c r="AK77" s="103"/>
    </row>
    <row r="78" customFormat="false" ht="12.8" hidden="false" customHeight="false" outlineLevel="0" collapsed="false">
      <c r="A78" s="103"/>
      <c r="C78" s="103"/>
      <c r="D78" s="57"/>
      <c r="E78" s="57"/>
      <c r="F78" s="57"/>
      <c r="G78" s="154"/>
      <c r="H78" s="154"/>
      <c r="I78" s="154"/>
      <c r="J78" s="170" t="s">
        <v>723</v>
      </c>
      <c r="K78" s="57" t="s">
        <v>676</v>
      </c>
      <c r="L78" s="57"/>
      <c r="M78" s="57"/>
      <c r="N78" s="95"/>
      <c r="O78" s="110"/>
      <c r="P78" s="57"/>
      <c r="Q78" s="57"/>
      <c r="R78" s="57"/>
      <c r="S78" s="57"/>
      <c r="T78" s="103"/>
      <c r="U78" s="170" t="s">
        <v>723</v>
      </c>
      <c r="V78" s="57" t="s">
        <v>676</v>
      </c>
      <c r="W78" s="57"/>
      <c r="X78" s="57"/>
      <c r="Y78" s="57" t="s">
        <v>722</v>
      </c>
      <c r="Z78" s="57"/>
      <c r="AA78" s="57"/>
      <c r="AB78" s="95"/>
      <c r="AC78" s="164" t="s">
        <v>723</v>
      </c>
      <c r="AD78" s="154" t="s">
        <v>676</v>
      </c>
      <c r="AE78" s="154"/>
      <c r="AF78" s="154"/>
      <c r="AG78" s="154" t="s">
        <v>722</v>
      </c>
      <c r="AH78" s="154"/>
      <c r="AI78" s="154"/>
      <c r="AJ78" s="95"/>
      <c r="AK78" s="103"/>
    </row>
    <row r="79" customFormat="false" ht="12.8" hidden="false" customHeight="false" outlineLevel="0" collapsed="false">
      <c r="A79" s="103"/>
      <c r="C79" s="103"/>
      <c r="D79" s="57"/>
      <c r="E79" s="57"/>
      <c r="F79" s="57"/>
      <c r="G79" s="154"/>
      <c r="H79" s="154"/>
      <c r="I79" s="154"/>
      <c r="J79" s="95"/>
      <c r="K79" s="57" t="s">
        <v>679</v>
      </c>
      <c r="L79" s="57"/>
      <c r="M79" s="57"/>
      <c r="N79" s="95"/>
      <c r="O79" s="110"/>
      <c r="P79" s="57"/>
      <c r="Q79" s="57"/>
      <c r="R79" s="57"/>
      <c r="S79" s="57"/>
      <c r="T79" s="103"/>
      <c r="U79" s="181"/>
      <c r="V79" s="57" t="s">
        <v>724</v>
      </c>
      <c r="W79" s="57"/>
      <c r="X79" s="57"/>
      <c r="Y79" s="182"/>
      <c r="Z79" s="183"/>
      <c r="AA79" s="184"/>
      <c r="AB79" s="95"/>
      <c r="AC79" s="185"/>
      <c r="AD79" s="154" t="s">
        <v>724</v>
      </c>
      <c r="AE79" s="154"/>
      <c r="AF79" s="154"/>
      <c r="AG79" s="186"/>
      <c r="AH79" s="187"/>
      <c r="AI79" s="188"/>
      <c r="AJ79" s="95"/>
      <c r="AK79" s="103"/>
    </row>
    <row r="80" customFormat="false" ht="12.8" hidden="false" customHeight="true" outlineLevel="0" collapsed="false">
      <c r="A80" s="103"/>
      <c r="C80" s="103"/>
      <c r="D80" s="57"/>
      <c r="E80" s="57"/>
      <c r="F80" s="57"/>
      <c r="G80" s="154"/>
      <c r="H80" s="154"/>
      <c r="I80" s="154"/>
      <c r="J80" s="94"/>
      <c r="K80" s="57"/>
      <c r="L80" s="57"/>
      <c r="M80" s="57"/>
      <c r="N80" s="94"/>
      <c r="O80" s="110"/>
      <c r="P80" s="57"/>
      <c r="Q80" s="57"/>
      <c r="R80" s="57"/>
      <c r="S80" s="57"/>
      <c r="T80" s="103"/>
      <c r="U80" s="195"/>
      <c r="V80" s="57"/>
      <c r="W80" s="57"/>
      <c r="X80" s="57"/>
      <c r="Y80" s="189"/>
      <c r="Z80" s="190"/>
      <c r="AA80" s="191"/>
      <c r="AB80" s="94"/>
      <c r="AC80" s="196"/>
      <c r="AD80" s="154"/>
      <c r="AE80" s="154"/>
      <c r="AF80" s="154"/>
      <c r="AG80" s="192"/>
      <c r="AH80" s="193"/>
      <c r="AI80" s="194"/>
      <c r="AJ80" s="94"/>
      <c r="AK80" s="103"/>
    </row>
    <row r="81" customFormat="false" ht="7.45" hidden="false" customHeight="true" outlineLevel="0" collapsed="false">
      <c r="A81" s="103"/>
      <c r="B81" s="103"/>
      <c r="C81" s="103"/>
      <c r="D81" s="103"/>
      <c r="E81" s="103"/>
      <c r="F81" s="103"/>
      <c r="G81" s="103"/>
      <c r="H81" s="103"/>
      <c r="I81" s="146"/>
      <c r="J81" s="103"/>
      <c r="K81" s="112"/>
      <c r="L81" s="103"/>
      <c r="M81" s="103"/>
      <c r="N81" s="103"/>
      <c r="O81" s="145"/>
      <c r="P81" s="57"/>
      <c r="Q81" s="57"/>
      <c r="R81" s="57"/>
      <c r="S81" s="57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</row>
    <row r="82" customFormat="false" ht="12.8" hidden="false" customHeight="false" outlineLevel="0" collapsed="false">
      <c r="A82" s="103"/>
      <c r="B82" s="0" t="s">
        <v>307</v>
      </c>
      <c r="C82" s="103"/>
      <c r="D82" s="150" t="s">
        <v>660</v>
      </c>
      <c r="E82" s="150"/>
      <c r="F82" s="150"/>
      <c r="G82" s="109" t="s">
        <v>661</v>
      </c>
      <c r="H82" s="109"/>
      <c r="I82" s="197" t="s">
        <v>714</v>
      </c>
      <c r="J82" s="109" t="s">
        <v>714</v>
      </c>
      <c r="K82" s="109"/>
      <c r="L82" s="109"/>
      <c r="M82" s="109"/>
      <c r="N82" s="109"/>
      <c r="O82" s="110" t="s">
        <v>725</v>
      </c>
      <c r="P82" s="57"/>
      <c r="Q82" s="57"/>
      <c r="R82" s="57"/>
      <c r="S82" s="57"/>
      <c r="T82" s="103"/>
      <c r="U82" s="109" t="s">
        <v>660</v>
      </c>
      <c r="V82" s="109"/>
      <c r="W82" s="109"/>
      <c r="X82" s="109"/>
      <c r="Y82" s="109"/>
      <c r="Z82" s="109"/>
      <c r="AA82" s="109"/>
      <c r="AB82" s="150" t="s">
        <v>714</v>
      </c>
      <c r="AC82" s="109" t="s">
        <v>661</v>
      </c>
      <c r="AD82" s="109"/>
      <c r="AE82" s="109"/>
      <c r="AF82" s="109"/>
      <c r="AG82" s="109"/>
      <c r="AH82" s="109"/>
      <c r="AI82" s="109"/>
      <c r="AJ82" s="150" t="s">
        <v>714</v>
      </c>
      <c r="AK82" s="103"/>
    </row>
    <row r="83" customFormat="false" ht="12.8" hidden="false" customHeight="false" outlineLevel="0" collapsed="false">
      <c r="A83" s="103"/>
      <c r="C83" s="103"/>
      <c r="D83" s="57" t="s">
        <v>607</v>
      </c>
      <c r="E83" s="57"/>
      <c r="F83" s="57"/>
      <c r="G83" s="154" t="s">
        <v>607</v>
      </c>
      <c r="H83" s="154"/>
      <c r="I83" s="154"/>
      <c r="J83" s="57" t="s">
        <v>716</v>
      </c>
      <c r="K83" s="57" t="s">
        <v>726</v>
      </c>
      <c r="L83" s="57"/>
      <c r="M83" s="57"/>
      <c r="N83" s="80" t="s">
        <v>686</v>
      </c>
      <c r="O83" s="110"/>
      <c r="P83" s="57"/>
      <c r="Q83" s="57"/>
      <c r="R83" s="57"/>
      <c r="S83" s="57"/>
      <c r="T83" s="103"/>
      <c r="U83" s="57" t="s">
        <v>719</v>
      </c>
      <c r="V83" s="57" t="s">
        <v>727</v>
      </c>
      <c r="W83" s="57"/>
      <c r="X83" s="57"/>
      <c r="Y83" s="57"/>
      <c r="Z83" s="57"/>
      <c r="AA83" s="57"/>
      <c r="AB83" s="80" t="s">
        <v>686</v>
      </c>
      <c r="AC83" s="154" t="s">
        <v>719</v>
      </c>
      <c r="AD83" s="154" t="s">
        <v>727</v>
      </c>
      <c r="AE83" s="154"/>
      <c r="AF83" s="154"/>
      <c r="AG83" s="154"/>
      <c r="AH83" s="154"/>
      <c r="AI83" s="154"/>
      <c r="AJ83" s="80" t="s">
        <v>686</v>
      </c>
      <c r="AK83" s="103"/>
    </row>
    <row r="84" customFormat="false" ht="12.8" hidden="false" customHeight="false" outlineLevel="0" collapsed="false">
      <c r="A84" s="103"/>
      <c r="C84" s="103"/>
      <c r="D84" s="57" t="s">
        <v>668</v>
      </c>
      <c r="E84" s="57"/>
      <c r="F84" s="57"/>
      <c r="G84" s="154" t="s">
        <v>668</v>
      </c>
      <c r="H84" s="154"/>
      <c r="I84" s="154"/>
      <c r="J84" s="179" t="s">
        <v>721</v>
      </c>
      <c r="K84" s="57" t="s">
        <v>607</v>
      </c>
      <c r="L84" s="57"/>
      <c r="M84" s="57"/>
      <c r="N84" s="93"/>
      <c r="O84" s="110"/>
      <c r="P84" s="57"/>
      <c r="Q84" s="57"/>
      <c r="R84" s="57"/>
      <c r="S84" s="57"/>
      <c r="T84" s="103"/>
      <c r="U84" s="179" t="s">
        <v>721</v>
      </c>
      <c r="V84" s="57" t="s">
        <v>607</v>
      </c>
      <c r="W84" s="57"/>
      <c r="X84" s="57"/>
      <c r="Y84" s="57" t="s">
        <v>722</v>
      </c>
      <c r="Z84" s="57"/>
      <c r="AA84" s="57"/>
      <c r="AB84" s="93"/>
      <c r="AC84" s="180" t="s">
        <v>721</v>
      </c>
      <c r="AD84" s="154" t="s">
        <v>607</v>
      </c>
      <c r="AE84" s="154"/>
      <c r="AF84" s="154"/>
      <c r="AG84" s="57" t="s">
        <v>722</v>
      </c>
      <c r="AH84" s="57"/>
      <c r="AI84" s="57"/>
      <c r="AJ84" s="93"/>
      <c r="AK84" s="103"/>
    </row>
    <row r="85" customFormat="false" ht="12.8" hidden="false" customHeight="false" outlineLevel="0" collapsed="false">
      <c r="A85" s="103"/>
      <c r="C85" s="103"/>
      <c r="D85" s="57"/>
      <c r="E85" s="57"/>
      <c r="F85" s="57"/>
      <c r="G85" s="154"/>
      <c r="H85" s="154"/>
      <c r="I85" s="154"/>
      <c r="J85" s="95"/>
      <c r="K85" s="157" t="s">
        <v>668</v>
      </c>
      <c r="L85" s="157"/>
      <c r="M85" s="157"/>
      <c r="N85" s="95"/>
      <c r="O85" s="110"/>
      <c r="P85" s="57"/>
      <c r="Q85" s="57"/>
      <c r="R85" s="57"/>
      <c r="S85" s="57"/>
      <c r="T85" s="103"/>
      <c r="U85" s="181"/>
      <c r="V85" s="57" t="s">
        <v>668</v>
      </c>
      <c r="W85" s="57"/>
      <c r="X85" s="57"/>
      <c r="Y85" s="182"/>
      <c r="Z85" s="183"/>
      <c r="AA85" s="184"/>
      <c r="AB85" s="95"/>
      <c r="AC85" s="185"/>
      <c r="AD85" s="154" t="s">
        <v>668</v>
      </c>
      <c r="AE85" s="154"/>
      <c r="AF85" s="154"/>
      <c r="AG85" s="182"/>
      <c r="AH85" s="183"/>
      <c r="AI85" s="184"/>
      <c r="AJ85" s="95"/>
      <c r="AK85" s="103"/>
    </row>
    <row r="86" customFormat="false" ht="12.8" hidden="false" customHeight="false" outlineLevel="0" collapsed="false">
      <c r="A86" s="103"/>
      <c r="C86" s="103"/>
      <c r="D86" s="57"/>
      <c r="E86" s="57"/>
      <c r="F86" s="57"/>
      <c r="G86" s="154"/>
      <c r="H86" s="154"/>
      <c r="I86" s="154"/>
      <c r="J86" s="95"/>
      <c r="K86" s="157"/>
      <c r="L86" s="157"/>
      <c r="M86" s="157"/>
      <c r="N86" s="94"/>
      <c r="O86" s="110"/>
      <c r="P86" s="57"/>
      <c r="Q86" s="57"/>
      <c r="R86" s="57"/>
      <c r="S86" s="57"/>
      <c r="T86" s="103"/>
      <c r="U86" s="181"/>
      <c r="V86" s="57"/>
      <c r="W86" s="57"/>
      <c r="X86" s="57"/>
      <c r="Y86" s="189"/>
      <c r="Z86" s="190"/>
      <c r="AA86" s="191"/>
      <c r="AB86" s="94"/>
      <c r="AC86" s="185"/>
      <c r="AD86" s="154"/>
      <c r="AE86" s="154"/>
      <c r="AF86" s="154"/>
      <c r="AG86" s="189"/>
      <c r="AH86" s="190"/>
      <c r="AI86" s="191"/>
      <c r="AJ86" s="94"/>
      <c r="AK86" s="103"/>
    </row>
    <row r="87" customFormat="false" ht="12.8" hidden="false" customHeight="false" outlineLevel="0" collapsed="false">
      <c r="A87" s="103"/>
      <c r="C87" s="103"/>
      <c r="D87" s="57"/>
      <c r="E87" s="57"/>
      <c r="F87" s="57"/>
      <c r="G87" s="154"/>
      <c r="H87" s="154"/>
      <c r="I87" s="154"/>
      <c r="J87" s="170" t="s">
        <v>723</v>
      </c>
      <c r="K87" s="57" t="s">
        <v>676</v>
      </c>
      <c r="L87" s="57"/>
      <c r="M87" s="57"/>
      <c r="N87" s="57"/>
      <c r="O87" s="110"/>
      <c r="P87" s="57"/>
      <c r="Q87" s="57"/>
      <c r="R87" s="57"/>
      <c r="S87" s="57"/>
      <c r="T87" s="103"/>
      <c r="U87" s="170" t="s">
        <v>723</v>
      </c>
      <c r="V87" s="57" t="s">
        <v>676</v>
      </c>
      <c r="W87" s="57"/>
      <c r="X87" s="57"/>
      <c r="Y87" s="57"/>
      <c r="Z87" s="57"/>
      <c r="AA87" s="57"/>
      <c r="AB87" s="80" t="s">
        <v>676</v>
      </c>
      <c r="AC87" s="164" t="s">
        <v>723</v>
      </c>
      <c r="AD87" s="154" t="s">
        <v>676</v>
      </c>
      <c r="AE87" s="154"/>
      <c r="AF87" s="154"/>
      <c r="AG87" s="154"/>
      <c r="AH87" s="154"/>
      <c r="AI87" s="154"/>
      <c r="AJ87" s="80" t="s">
        <v>676</v>
      </c>
      <c r="AK87" s="103"/>
    </row>
    <row r="88" customFormat="false" ht="12.8" hidden="false" customHeight="false" outlineLevel="0" collapsed="false">
      <c r="A88" s="103"/>
      <c r="C88" s="103"/>
      <c r="D88" s="57"/>
      <c r="E88" s="57"/>
      <c r="F88" s="57"/>
      <c r="G88" s="154"/>
      <c r="H88" s="154"/>
      <c r="I88" s="154"/>
      <c r="J88" s="95"/>
      <c r="K88" s="198" t="s">
        <v>703</v>
      </c>
      <c r="L88" s="198"/>
      <c r="M88" s="198"/>
      <c r="N88" s="198"/>
      <c r="O88" s="110"/>
      <c r="P88" s="57"/>
      <c r="Q88" s="57"/>
      <c r="R88" s="57"/>
      <c r="S88" s="57"/>
      <c r="T88" s="103"/>
      <c r="U88" s="181"/>
      <c r="V88" s="57" t="s">
        <v>728</v>
      </c>
      <c r="W88" s="57"/>
      <c r="X88" s="57"/>
      <c r="Y88" s="57"/>
      <c r="Z88" s="57"/>
      <c r="AA88" s="57"/>
      <c r="AB88" s="199" t="n">
        <v>0</v>
      </c>
      <c r="AC88" s="185"/>
      <c r="AD88" s="154" t="s">
        <v>728</v>
      </c>
      <c r="AE88" s="154"/>
      <c r="AF88" s="154"/>
      <c r="AG88" s="154"/>
      <c r="AH88" s="154"/>
      <c r="AI88" s="154"/>
      <c r="AJ88" s="199" t="n">
        <v>0</v>
      </c>
      <c r="AK88" s="103"/>
    </row>
    <row r="89" customFormat="false" ht="12.8" hidden="false" customHeight="false" outlineLevel="0" collapsed="false">
      <c r="A89" s="103"/>
      <c r="C89" s="103"/>
      <c r="D89" s="57"/>
      <c r="E89" s="57"/>
      <c r="F89" s="57"/>
      <c r="G89" s="154"/>
      <c r="H89" s="154"/>
      <c r="I89" s="154"/>
      <c r="J89" s="95"/>
      <c r="K89" s="200" t="s">
        <v>729</v>
      </c>
      <c r="L89" s="200"/>
      <c r="M89" s="200"/>
      <c r="N89" s="200"/>
      <c r="O89" s="110"/>
      <c r="P89" s="57"/>
      <c r="Q89" s="57"/>
      <c r="R89" s="57"/>
      <c r="S89" s="57"/>
      <c r="T89" s="103"/>
      <c r="U89" s="181"/>
      <c r="V89" s="57"/>
      <c r="W89" s="57"/>
      <c r="X89" s="57"/>
      <c r="Y89" s="57"/>
      <c r="Z89" s="57"/>
      <c r="AA89" s="57"/>
      <c r="AB89" s="201" t="n">
        <v>1</v>
      </c>
      <c r="AC89" s="185"/>
      <c r="AD89" s="154"/>
      <c r="AE89" s="154"/>
      <c r="AF89" s="154"/>
      <c r="AG89" s="154"/>
      <c r="AH89" s="154"/>
      <c r="AI89" s="154"/>
      <c r="AJ89" s="201" t="n">
        <v>0</v>
      </c>
      <c r="AK89" s="103"/>
    </row>
    <row r="90" customFormat="false" ht="12.8" hidden="false" customHeight="false" outlineLevel="0" collapsed="false">
      <c r="A90" s="103"/>
      <c r="C90" s="103"/>
      <c r="D90" s="57"/>
      <c r="E90" s="57"/>
      <c r="F90" s="57"/>
      <c r="G90" s="154"/>
      <c r="H90" s="154"/>
      <c r="I90" s="154"/>
      <c r="J90" s="95"/>
      <c r="K90" s="200" t="s">
        <v>730</v>
      </c>
      <c r="L90" s="200"/>
      <c r="M90" s="200"/>
      <c r="N90" s="200"/>
      <c r="O90" s="110"/>
      <c r="P90" s="57"/>
      <c r="Q90" s="57"/>
      <c r="R90" s="57"/>
      <c r="S90" s="57"/>
      <c r="T90" s="103"/>
      <c r="U90" s="181"/>
      <c r="V90" s="57"/>
      <c r="W90" s="57"/>
      <c r="X90" s="57"/>
      <c r="Y90" s="57"/>
      <c r="Z90" s="57"/>
      <c r="AA90" s="57"/>
      <c r="AB90" s="201" t="n">
        <v>0</v>
      </c>
      <c r="AC90" s="185"/>
      <c r="AD90" s="154"/>
      <c r="AE90" s="154"/>
      <c r="AF90" s="154"/>
      <c r="AG90" s="154"/>
      <c r="AH90" s="154"/>
      <c r="AI90" s="154"/>
      <c r="AJ90" s="201" t="n">
        <v>1</v>
      </c>
      <c r="AK90" s="103"/>
    </row>
    <row r="91" customFormat="false" ht="12.8" hidden="false" customHeight="false" outlineLevel="0" collapsed="false">
      <c r="A91" s="103"/>
      <c r="C91" s="103"/>
      <c r="D91" s="57"/>
      <c r="E91" s="57"/>
      <c r="F91" s="57"/>
      <c r="G91" s="154"/>
      <c r="H91" s="154"/>
      <c r="I91" s="154"/>
      <c r="J91" s="94"/>
      <c r="K91" s="202" t="s">
        <v>731</v>
      </c>
      <c r="L91" s="202"/>
      <c r="M91" s="202"/>
      <c r="N91" s="202"/>
      <c r="O91" s="110"/>
      <c r="P91" s="57"/>
      <c r="Q91" s="57"/>
      <c r="R91" s="57"/>
      <c r="S91" s="57"/>
      <c r="T91" s="103"/>
      <c r="U91" s="195"/>
      <c r="V91" s="57"/>
      <c r="W91" s="57"/>
      <c r="X91" s="57"/>
      <c r="Y91" s="57"/>
      <c r="Z91" s="57"/>
      <c r="AA91" s="57"/>
      <c r="AB91" s="203" t="n">
        <v>1</v>
      </c>
      <c r="AC91" s="196"/>
      <c r="AD91" s="154"/>
      <c r="AE91" s="154"/>
      <c r="AF91" s="154"/>
      <c r="AG91" s="154"/>
      <c r="AH91" s="154"/>
      <c r="AI91" s="154"/>
      <c r="AJ91" s="203" t="n">
        <v>1</v>
      </c>
      <c r="AK91" s="103"/>
    </row>
    <row r="92" customFormat="false" ht="7.45" hidden="false" customHeight="true" outlineLevel="0" collapsed="false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12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</row>
    <row r="93" customFormat="false" ht="12.8" hidden="false" customHeight="false" outlineLevel="0" collapsed="false">
      <c r="A93" s="103"/>
      <c r="C93" s="103"/>
      <c r="D93" s="109" t="s">
        <v>732</v>
      </c>
      <c r="E93" s="109"/>
      <c r="F93" s="150" t="s">
        <v>733</v>
      </c>
      <c r="G93" s="150"/>
      <c r="H93" s="150"/>
      <c r="I93" s="150"/>
      <c r="J93" s="150"/>
      <c r="K93" s="150"/>
      <c r="L93" s="150"/>
      <c r="M93" s="204" t="s">
        <v>734</v>
      </c>
      <c r="N93" s="205" t="s">
        <v>735</v>
      </c>
      <c r="O93" s="149" t="s">
        <v>707</v>
      </c>
      <c r="P93" s="57" t="s">
        <v>736</v>
      </c>
      <c r="Q93" s="57"/>
      <c r="R93" s="57"/>
      <c r="S93" s="57"/>
      <c r="T93" s="103"/>
      <c r="U93" s="109" t="s">
        <v>733</v>
      </c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3"/>
    </row>
    <row r="94" customFormat="false" ht="12.8" hidden="false" customHeight="true" outlineLevel="0" collapsed="false">
      <c r="A94" s="103"/>
      <c r="B94" s="0" t="s">
        <v>311</v>
      </c>
      <c r="C94" s="103"/>
      <c r="D94" s="57" t="s">
        <v>607</v>
      </c>
      <c r="E94" s="57"/>
      <c r="F94" s="142" t="s">
        <v>664</v>
      </c>
      <c r="G94" s="142"/>
      <c r="H94" s="142"/>
      <c r="I94" s="142" t="s">
        <v>665</v>
      </c>
      <c r="J94" s="142"/>
      <c r="K94" s="142"/>
      <c r="L94" s="142"/>
      <c r="M94" s="93" t="s">
        <v>737</v>
      </c>
      <c r="N94" s="93" t="s">
        <v>737</v>
      </c>
      <c r="O94" s="206" t="s">
        <v>738</v>
      </c>
      <c r="P94" s="57"/>
      <c r="Q94" s="57"/>
      <c r="R94" s="57"/>
      <c r="S94" s="57"/>
      <c r="T94" s="103"/>
      <c r="U94" s="125" t="s">
        <v>739</v>
      </c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03"/>
    </row>
    <row r="95" customFormat="false" ht="12.8" hidden="false" customHeight="false" outlineLevel="0" collapsed="false">
      <c r="A95" s="103"/>
      <c r="B95" s="0" t="s">
        <v>315</v>
      </c>
      <c r="C95" s="103"/>
      <c r="D95" s="57" t="s">
        <v>740</v>
      </c>
      <c r="E95" s="57"/>
      <c r="F95" s="198" t="s">
        <v>674</v>
      </c>
      <c r="G95" s="198"/>
      <c r="H95" s="198"/>
      <c r="I95" s="198" t="s">
        <v>670</v>
      </c>
      <c r="J95" s="198"/>
      <c r="K95" s="198"/>
      <c r="L95" s="198"/>
      <c r="M95" s="95" t="s">
        <v>741</v>
      </c>
      <c r="N95" s="95" t="s">
        <v>741</v>
      </c>
      <c r="O95" s="181" t="s">
        <v>742</v>
      </c>
      <c r="P95" s="57"/>
      <c r="Q95" s="57"/>
      <c r="R95" s="57"/>
      <c r="S95" s="57"/>
      <c r="T95" s="103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03"/>
    </row>
    <row r="96" customFormat="false" ht="12.8" hidden="false" customHeight="false" outlineLevel="0" collapsed="false">
      <c r="A96" s="103"/>
      <c r="C96" s="103"/>
      <c r="D96" s="57"/>
      <c r="E96" s="57"/>
      <c r="F96" s="198"/>
      <c r="G96" s="198"/>
      <c r="H96" s="198"/>
      <c r="I96" s="198"/>
      <c r="J96" s="198"/>
      <c r="K96" s="198"/>
      <c r="L96" s="198"/>
      <c r="M96" s="95"/>
      <c r="N96" s="95"/>
      <c r="O96" s="181"/>
      <c r="P96" s="57"/>
      <c r="Q96" s="57"/>
      <c r="R96" s="57"/>
      <c r="S96" s="57"/>
      <c r="T96" s="103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03"/>
    </row>
    <row r="97" customFormat="false" ht="12.8" hidden="false" customHeight="false" outlineLevel="0" collapsed="false">
      <c r="A97" s="103"/>
      <c r="B97" s="0" t="s">
        <v>319</v>
      </c>
      <c r="C97" s="103"/>
      <c r="D97" s="57"/>
      <c r="E97" s="57"/>
      <c r="F97" s="30" t="s">
        <v>712</v>
      </c>
      <c r="G97" s="142" t="s">
        <v>681</v>
      </c>
      <c r="H97" s="142"/>
      <c r="I97" s="142" t="s">
        <v>665</v>
      </c>
      <c r="J97" s="142"/>
      <c r="K97" s="142"/>
      <c r="L97" s="142"/>
      <c r="M97" s="95"/>
      <c r="N97" s="95"/>
      <c r="O97" s="95"/>
      <c r="P97" s="57"/>
      <c r="Q97" s="57"/>
      <c r="R97" s="57"/>
      <c r="S97" s="57"/>
      <c r="T97" s="103"/>
      <c r="U97" s="161" t="s">
        <v>682</v>
      </c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03"/>
    </row>
    <row r="98" customFormat="false" ht="12.8" hidden="false" customHeight="false" outlineLevel="0" collapsed="false">
      <c r="A98" s="103"/>
      <c r="B98" s="0" t="s">
        <v>323</v>
      </c>
      <c r="C98" s="103"/>
      <c r="D98" s="57"/>
      <c r="E98" s="57"/>
      <c r="F98" s="200" t="s">
        <v>713</v>
      </c>
      <c r="G98" s="200" t="s">
        <v>684</v>
      </c>
      <c r="H98" s="200"/>
      <c r="I98" s="200" t="s">
        <v>685</v>
      </c>
      <c r="J98" s="200"/>
      <c r="K98" s="200"/>
      <c r="L98" s="200"/>
      <c r="M98" s="95"/>
      <c r="N98" s="95"/>
      <c r="O98" s="95"/>
      <c r="P98" s="57"/>
      <c r="Q98" s="57"/>
      <c r="R98" s="57"/>
      <c r="S98" s="57"/>
      <c r="T98" s="103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03"/>
    </row>
    <row r="99" customFormat="false" ht="12.8" hidden="false" customHeight="false" outlineLevel="0" collapsed="false">
      <c r="A99" s="103"/>
      <c r="C99" s="103"/>
      <c r="D99" s="57"/>
      <c r="E99" s="57"/>
      <c r="F99" s="200"/>
      <c r="G99" s="200"/>
      <c r="H99" s="200"/>
      <c r="I99" s="200"/>
      <c r="J99" s="200"/>
      <c r="K99" s="200"/>
      <c r="L99" s="200"/>
      <c r="M99" s="95"/>
      <c r="N99" s="95"/>
      <c r="O99" s="95"/>
      <c r="P99" s="57"/>
      <c r="Q99" s="57"/>
      <c r="R99" s="57"/>
      <c r="S99" s="57"/>
      <c r="T99" s="103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03"/>
    </row>
    <row r="100" customFormat="false" ht="12.8" hidden="false" customHeight="false" outlineLevel="0" collapsed="false">
      <c r="A100" s="103"/>
      <c r="B100" s="0" t="s">
        <v>326</v>
      </c>
      <c r="C100" s="103"/>
      <c r="D100" s="57"/>
      <c r="E100" s="57"/>
      <c r="F100" s="57" t="s">
        <v>607</v>
      </c>
      <c r="G100" s="57"/>
      <c r="H100" s="57"/>
      <c r="I100" s="142" t="s">
        <v>665</v>
      </c>
      <c r="J100" s="142"/>
      <c r="K100" s="142"/>
      <c r="L100" s="142"/>
      <c r="M100" s="95"/>
      <c r="N100" s="95"/>
      <c r="O100" s="181"/>
      <c r="P100" s="57"/>
      <c r="Q100" s="57"/>
      <c r="R100" s="57"/>
      <c r="S100" s="57"/>
      <c r="T100" s="103"/>
      <c r="U100" s="161" t="s">
        <v>688</v>
      </c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03"/>
    </row>
    <row r="101" customFormat="false" ht="12.8" hidden="false" customHeight="false" outlineLevel="0" collapsed="false">
      <c r="A101" s="103"/>
      <c r="B101" s="0" t="s">
        <v>331</v>
      </c>
      <c r="C101" s="103"/>
      <c r="D101" s="57"/>
      <c r="E101" s="57"/>
      <c r="F101" s="200" t="s">
        <v>743</v>
      </c>
      <c r="G101" s="200"/>
      <c r="H101" s="200"/>
      <c r="I101" s="200" t="s">
        <v>691</v>
      </c>
      <c r="J101" s="200"/>
      <c r="K101" s="200"/>
      <c r="L101" s="200"/>
      <c r="M101" s="95"/>
      <c r="N101" s="95"/>
      <c r="O101" s="181"/>
      <c r="P101" s="57"/>
      <c r="Q101" s="57"/>
      <c r="R101" s="57"/>
      <c r="S101" s="57"/>
      <c r="T101" s="103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03"/>
    </row>
    <row r="102" customFormat="false" ht="12.8" hidden="false" customHeight="false" outlineLevel="0" collapsed="false">
      <c r="A102" s="103"/>
      <c r="C102" s="103"/>
      <c r="D102" s="57"/>
      <c r="E102" s="57"/>
      <c r="F102" s="200"/>
      <c r="G102" s="200"/>
      <c r="H102" s="200"/>
      <c r="I102" s="200"/>
      <c r="J102" s="200"/>
      <c r="K102" s="200"/>
      <c r="L102" s="200"/>
      <c r="M102" s="95"/>
      <c r="N102" s="95"/>
      <c r="O102" s="181"/>
      <c r="P102" s="57"/>
      <c r="Q102" s="57"/>
      <c r="R102" s="57"/>
      <c r="S102" s="57"/>
      <c r="T102" s="103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03"/>
    </row>
    <row r="103" customFormat="false" ht="12.8" hidden="false" customHeight="false" outlineLevel="0" collapsed="false">
      <c r="A103" s="103"/>
      <c r="C103" s="103"/>
      <c r="D103" s="57"/>
      <c r="E103" s="57"/>
      <c r="F103" s="57" t="s">
        <v>694</v>
      </c>
      <c r="G103" s="57"/>
      <c r="H103" s="57"/>
      <c r="I103" s="142" t="s">
        <v>665</v>
      </c>
      <c r="J103" s="142"/>
      <c r="K103" s="142"/>
      <c r="L103" s="142"/>
      <c r="M103" s="95"/>
      <c r="N103" s="95"/>
      <c r="O103" s="95"/>
      <c r="P103" s="57"/>
      <c r="Q103" s="57"/>
      <c r="R103" s="57"/>
      <c r="S103" s="57"/>
      <c r="T103" s="103"/>
      <c r="U103" s="57" t="s">
        <v>695</v>
      </c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103"/>
    </row>
    <row r="104" customFormat="false" ht="12.8" hidden="false" customHeight="true" outlineLevel="0" collapsed="false">
      <c r="A104" s="103"/>
      <c r="C104" s="103"/>
      <c r="D104" s="57"/>
      <c r="E104" s="57"/>
      <c r="F104" s="207" t="s">
        <v>744</v>
      </c>
      <c r="G104" s="207"/>
      <c r="H104" s="207"/>
      <c r="I104" s="202" t="s">
        <v>697</v>
      </c>
      <c r="J104" s="202"/>
      <c r="K104" s="202"/>
      <c r="L104" s="202"/>
      <c r="M104" s="95"/>
      <c r="N104" s="95"/>
      <c r="O104" s="95"/>
      <c r="P104" s="57"/>
      <c r="Q104" s="57"/>
      <c r="R104" s="57"/>
      <c r="S104" s="57"/>
      <c r="T104" s="103"/>
      <c r="U104" s="161" t="s">
        <v>698</v>
      </c>
      <c r="V104" s="161"/>
      <c r="W104" s="161"/>
      <c r="X104" s="161"/>
      <c r="Y104" s="161"/>
      <c r="Z104" s="161"/>
      <c r="AA104" s="161"/>
      <c r="AB104" s="161"/>
      <c r="AC104" s="57" t="s">
        <v>699</v>
      </c>
      <c r="AD104" s="57"/>
      <c r="AE104" s="57"/>
      <c r="AF104" s="57"/>
      <c r="AG104" s="57"/>
      <c r="AH104" s="57"/>
      <c r="AI104" s="57"/>
      <c r="AJ104" s="57"/>
      <c r="AK104" s="103"/>
    </row>
    <row r="105" customFormat="false" ht="12.8" hidden="false" customHeight="false" outlineLevel="0" collapsed="false">
      <c r="A105" s="103"/>
      <c r="C105" s="103"/>
      <c r="D105" s="57"/>
      <c r="E105" s="57"/>
      <c r="F105" s="207"/>
      <c r="G105" s="207"/>
      <c r="H105" s="207"/>
      <c r="I105" s="202"/>
      <c r="J105" s="202"/>
      <c r="K105" s="202"/>
      <c r="L105" s="202"/>
      <c r="M105" s="95"/>
      <c r="N105" s="95"/>
      <c r="O105" s="95"/>
      <c r="P105" s="57"/>
      <c r="Q105" s="57"/>
      <c r="R105" s="57"/>
      <c r="S105" s="57"/>
      <c r="T105" s="103"/>
      <c r="U105" s="57" t="s">
        <v>745</v>
      </c>
      <c r="V105" s="57"/>
      <c r="W105" s="57"/>
      <c r="X105" s="57"/>
      <c r="Y105" s="57"/>
      <c r="Z105" s="57"/>
      <c r="AA105" s="57"/>
      <c r="AB105" s="57"/>
      <c r="AC105" s="57" t="s">
        <v>746</v>
      </c>
      <c r="AD105" s="57"/>
      <c r="AE105" s="57"/>
      <c r="AF105" s="57"/>
      <c r="AG105" s="57"/>
      <c r="AH105" s="57"/>
      <c r="AI105" s="57"/>
      <c r="AJ105" s="57"/>
      <c r="AK105" s="103"/>
    </row>
    <row r="106" customFormat="false" ht="12.8" hidden="false" customHeight="false" outlineLevel="0" collapsed="false">
      <c r="A106" s="103"/>
      <c r="C106" s="103"/>
      <c r="D106" s="57"/>
      <c r="E106" s="57"/>
      <c r="F106" s="207"/>
      <c r="G106" s="207"/>
      <c r="H106" s="207"/>
      <c r="I106" s="202"/>
      <c r="J106" s="202"/>
      <c r="K106" s="202"/>
      <c r="L106" s="202"/>
      <c r="M106" s="94"/>
      <c r="N106" s="94"/>
      <c r="O106" s="94"/>
      <c r="P106" s="57"/>
      <c r="Q106" s="57"/>
      <c r="R106" s="57"/>
      <c r="S106" s="57"/>
      <c r="T106" s="103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103"/>
    </row>
    <row r="107" customFormat="false" ht="7.45" hidden="false" customHeight="true" outlineLevel="0" collapsed="false">
      <c r="A107" s="103"/>
      <c r="B107" s="103"/>
      <c r="C107" s="103"/>
      <c r="D107" s="103"/>
      <c r="E107" s="103"/>
      <c r="F107" s="103"/>
      <c r="G107" s="103"/>
      <c r="H107" s="103"/>
      <c r="I107" s="146"/>
      <c r="J107" s="103"/>
      <c r="K107" s="103"/>
      <c r="L107" s="112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</row>
    <row r="108" customFormat="false" ht="12.8" hidden="false" customHeight="false" outlineLevel="0" collapsed="false">
      <c r="A108" s="103"/>
      <c r="C108" s="103"/>
      <c r="D108" s="109" t="s">
        <v>732</v>
      </c>
      <c r="E108" s="109"/>
      <c r="F108" s="57" t="s">
        <v>747</v>
      </c>
      <c r="G108" s="57"/>
      <c r="H108" s="57"/>
      <c r="I108" s="57"/>
      <c r="J108" s="208" t="s">
        <v>748</v>
      </c>
      <c r="K108" s="209" t="s">
        <v>749</v>
      </c>
      <c r="L108" s="210" t="s">
        <v>707</v>
      </c>
      <c r="M108" s="80" t="s">
        <v>686</v>
      </c>
      <c r="N108" s="109" t="s">
        <v>750</v>
      </c>
      <c r="O108" s="109"/>
      <c r="P108" s="57" t="s">
        <v>751</v>
      </c>
      <c r="Q108" s="57"/>
      <c r="R108" s="57"/>
      <c r="S108" s="57"/>
      <c r="T108" s="103"/>
      <c r="U108" s="211" t="s">
        <v>698</v>
      </c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103"/>
    </row>
    <row r="109" customFormat="false" ht="12.8" hidden="false" customHeight="false" outlineLevel="0" collapsed="false">
      <c r="A109" s="103"/>
      <c r="B109" s="0" t="s">
        <v>333</v>
      </c>
      <c r="C109" s="103"/>
      <c r="D109" s="57" t="s">
        <v>607</v>
      </c>
      <c r="E109" s="57"/>
      <c r="F109" s="182"/>
      <c r="G109" s="183"/>
      <c r="H109" s="183"/>
      <c r="I109" s="184"/>
      <c r="J109" s="93" t="s">
        <v>737</v>
      </c>
      <c r="K109" s="93" t="s">
        <v>737</v>
      </c>
      <c r="L109" s="179" t="s">
        <v>752</v>
      </c>
      <c r="M109" s="93"/>
      <c r="N109" s="57" t="s">
        <v>753</v>
      </c>
      <c r="O109" s="57"/>
      <c r="P109" s="57"/>
      <c r="Q109" s="57"/>
      <c r="R109" s="57"/>
      <c r="S109" s="57"/>
      <c r="T109" s="103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  <c r="AJ109" s="211"/>
      <c r="AK109" s="103"/>
    </row>
    <row r="110" customFormat="false" ht="12.8" hidden="false" customHeight="false" outlineLevel="0" collapsed="false">
      <c r="A110" s="103"/>
      <c r="B110" s="0" t="s">
        <v>342</v>
      </c>
      <c r="C110" s="103"/>
      <c r="D110" s="57" t="s">
        <v>740</v>
      </c>
      <c r="E110" s="57"/>
      <c r="F110" s="212"/>
      <c r="I110" s="127"/>
      <c r="J110" s="95" t="s">
        <v>754</v>
      </c>
      <c r="K110" s="95" t="s">
        <v>754</v>
      </c>
      <c r="L110" s="170" t="s">
        <v>755</v>
      </c>
      <c r="M110" s="95"/>
      <c r="N110" s="57"/>
      <c r="O110" s="57"/>
      <c r="P110" s="57"/>
      <c r="Q110" s="57"/>
      <c r="R110" s="57"/>
      <c r="S110" s="57"/>
      <c r="T110" s="103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103"/>
    </row>
    <row r="111" customFormat="false" ht="12.8" hidden="false" customHeight="false" outlineLevel="0" collapsed="false">
      <c r="A111" s="103"/>
      <c r="B111" s="0" t="s">
        <v>338</v>
      </c>
      <c r="C111" s="103"/>
      <c r="D111" s="57"/>
      <c r="E111" s="57"/>
      <c r="F111" s="212"/>
      <c r="I111" s="127"/>
      <c r="J111" s="95"/>
      <c r="K111" s="95"/>
      <c r="L111" s="95"/>
      <c r="M111" s="95"/>
      <c r="N111" s="57"/>
      <c r="O111" s="57"/>
      <c r="P111" s="57"/>
      <c r="Q111" s="57"/>
      <c r="R111" s="57"/>
      <c r="S111" s="57"/>
      <c r="T111" s="103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11"/>
      <c r="AK111" s="103"/>
    </row>
    <row r="112" customFormat="false" ht="12.8" hidden="false" customHeight="false" outlineLevel="0" collapsed="false">
      <c r="A112" s="103"/>
      <c r="C112" s="103"/>
      <c r="D112" s="57"/>
      <c r="E112" s="57"/>
      <c r="F112" s="189"/>
      <c r="G112" s="190"/>
      <c r="H112" s="190"/>
      <c r="I112" s="191"/>
      <c r="J112" s="94"/>
      <c r="K112" s="94"/>
      <c r="L112" s="94"/>
      <c r="M112" s="94"/>
      <c r="N112" s="57"/>
      <c r="O112" s="57"/>
      <c r="P112" s="57"/>
      <c r="Q112" s="57"/>
      <c r="R112" s="57"/>
      <c r="S112" s="57"/>
      <c r="T112" s="103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11"/>
      <c r="AK112" s="103"/>
    </row>
    <row r="113" customFormat="false" ht="7.45" hidden="false" customHeight="true" outlineLevel="0" collapsed="false">
      <c r="A113" s="103"/>
      <c r="B113" s="103"/>
      <c r="C113" s="103"/>
      <c r="D113" s="146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57"/>
      <c r="Q113" s="57"/>
      <c r="R113" s="57"/>
      <c r="S113" s="57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</row>
    <row r="114" customFormat="false" ht="12.8" hidden="false" customHeight="false" outlineLevel="0" collapsed="false">
      <c r="A114" s="103"/>
      <c r="C114" s="103"/>
      <c r="D114" s="57" t="s">
        <v>756</v>
      </c>
      <c r="E114" s="57"/>
      <c r="F114" s="57" t="s">
        <v>756</v>
      </c>
      <c r="G114" s="57"/>
      <c r="H114" s="57"/>
      <c r="I114" s="57"/>
      <c r="J114" s="57"/>
      <c r="K114" s="57"/>
      <c r="L114" s="210" t="s">
        <v>707</v>
      </c>
      <c r="M114" s="210"/>
      <c r="N114" s="109" t="s">
        <v>750</v>
      </c>
      <c r="O114" s="109"/>
      <c r="P114" s="57"/>
      <c r="Q114" s="57"/>
      <c r="R114" s="57"/>
      <c r="S114" s="57"/>
      <c r="T114" s="103"/>
      <c r="U114" s="211" t="s">
        <v>698</v>
      </c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103"/>
    </row>
    <row r="115" customFormat="false" ht="12.8" hidden="false" customHeight="false" outlineLevel="0" collapsed="false">
      <c r="A115" s="103"/>
      <c r="B115" s="0" t="s">
        <v>345</v>
      </c>
      <c r="C115" s="103"/>
      <c r="D115" s="57" t="s">
        <v>757</v>
      </c>
      <c r="E115" s="57" t="s">
        <v>758</v>
      </c>
      <c r="F115" s="57" t="s">
        <v>759</v>
      </c>
      <c r="G115" s="57" t="s">
        <v>760</v>
      </c>
      <c r="H115" s="57" t="s">
        <v>761</v>
      </c>
      <c r="I115" s="57" t="s">
        <v>762</v>
      </c>
      <c r="J115" s="57" t="s">
        <v>763</v>
      </c>
      <c r="K115" s="57" t="s">
        <v>764</v>
      </c>
      <c r="L115" s="119" t="s">
        <v>765</v>
      </c>
      <c r="M115" s="119"/>
      <c r="N115" s="57" t="s">
        <v>766</v>
      </c>
      <c r="O115" s="57"/>
      <c r="P115" s="57"/>
      <c r="Q115" s="57"/>
      <c r="R115" s="57"/>
      <c r="S115" s="57"/>
      <c r="T115" s="103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  <c r="AJ115" s="211"/>
      <c r="AK115" s="103"/>
    </row>
    <row r="116" customFormat="false" ht="12.8" hidden="false" customHeight="false" outlineLevel="0" collapsed="false">
      <c r="A116" s="103"/>
      <c r="B116" s="0" t="s">
        <v>350</v>
      </c>
      <c r="C116" s="103"/>
      <c r="D116" s="57"/>
      <c r="E116" s="57"/>
      <c r="F116" s="57"/>
      <c r="G116" s="57"/>
      <c r="H116" s="57"/>
      <c r="I116" s="57"/>
      <c r="J116" s="57"/>
      <c r="K116" s="57"/>
      <c r="L116" s="119" t="s">
        <v>767</v>
      </c>
      <c r="M116" s="119"/>
      <c r="N116" s="57"/>
      <c r="O116" s="57"/>
      <c r="P116" s="57"/>
      <c r="Q116" s="57"/>
      <c r="R116" s="57"/>
      <c r="S116" s="57"/>
      <c r="T116" s="103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  <c r="AI116" s="211"/>
      <c r="AJ116" s="211"/>
      <c r="AK116" s="103"/>
    </row>
    <row r="117" customFormat="false" ht="7.45" hidden="false" customHeight="true" outlineLevel="0" collapsed="false">
      <c r="A117" s="103"/>
      <c r="B117" s="103"/>
      <c r="C117" s="103"/>
      <c r="D117" s="146"/>
      <c r="E117" s="103"/>
      <c r="F117" s="103"/>
      <c r="G117" s="103"/>
      <c r="H117" s="103"/>
      <c r="I117" s="103"/>
      <c r="J117" s="103"/>
      <c r="K117" s="103"/>
      <c r="L117" s="103"/>
      <c r="M117" s="103"/>
      <c r="N117" s="57"/>
      <c r="O117" s="57"/>
      <c r="P117" s="57"/>
      <c r="Q117" s="57"/>
      <c r="R117" s="57"/>
      <c r="S117" s="57"/>
      <c r="T117" s="103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  <c r="AI117" s="211"/>
      <c r="AJ117" s="211"/>
      <c r="AK117" s="103"/>
    </row>
    <row r="118" customFormat="false" ht="12.8" hidden="false" customHeight="false" outlineLevel="0" collapsed="false">
      <c r="A118" s="103"/>
      <c r="C118" s="103"/>
      <c r="D118" s="57" t="s">
        <v>768</v>
      </c>
      <c r="E118" s="57"/>
      <c r="F118" s="57" t="s">
        <v>769</v>
      </c>
      <c r="G118" s="57"/>
      <c r="H118" s="80" t="s">
        <v>665</v>
      </c>
      <c r="I118" s="109" t="s">
        <v>733</v>
      </c>
      <c r="J118" s="109"/>
      <c r="K118" s="109"/>
      <c r="L118" s="210" t="s">
        <v>707</v>
      </c>
      <c r="M118" s="210"/>
      <c r="N118" s="57"/>
      <c r="O118" s="57"/>
      <c r="P118" s="57"/>
      <c r="Q118" s="57"/>
      <c r="R118" s="57"/>
      <c r="S118" s="57"/>
      <c r="T118" s="103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  <c r="AI118" s="211"/>
      <c r="AJ118" s="211"/>
      <c r="AK118" s="103"/>
    </row>
    <row r="119" customFormat="false" ht="12.8" hidden="false" customHeight="false" outlineLevel="0" collapsed="false">
      <c r="A119" s="103"/>
      <c r="B119" s="213" t="s">
        <v>354</v>
      </c>
      <c r="C119" s="103"/>
      <c r="D119" s="57" t="s">
        <v>770</v>
      </c>
      <c r="E119" s="57"/>
      <c r="F119" s="57" t="s">
        <v>770</v>
      </c>
      <c r="G119" s="57"/>
      <c r="H119" s="80" t="s">
        <v>676</v>
      </c>
      <c r="I119" s="57" t="s">
        <v>675</v>
      </c>
      <c r="J119" s="57"/>
      <c r="K119" s="57"/>
      <c r="L119" s="179" t="s">
        <v>771</v>
      </c>
      <c r="M119" s="179"/>
      <c r="N119" s="57"/>
      <c r="O119" s="57"/>
      <c r="P119" s="57"/>
      <c r="Q119" s="57"/>
      <c r="R119" s="57"/>
      <c r="S119" s="57"/>
      <c r="T119" s="103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  <c r="AJ119" s="211"/>
      <c r="AK119" s="103"/>
    </row>
    <row r="120" customFormat="false" ht="12.8" hidden="false" customHeight="false" outlineLevel="0" collapsed="false">
      <c r="A120" s="103"/>
      <c r="B120" s="213" t="s">
        <v>359</v>
      </c>
      <c r="C120" s="103"/>
      <c r="D120" s="57"/>
      <c r="E120" s="57"/>
      <c r="F120" s="57"/>
      <c r="G120" s="57"/>
      <c r="H120" s="66" t="n">
        <v>1</v>
      </c>
      <c r="I120" s="179" t="s">
        <v>772</v>
      </c>
      <c r="J120" s="179"/>
      <c r="K120" s="179"/>
      <c r="L120" s="170" t="s">
        <v>773</v>
      </c>
      <c r="M120" s="170"/>
      <c r="N120" s="57"/>
      <c r="O120" s="57"/>
      <c r="P120" s="57"/>
      <c r="Q120" s="57"/>
      <c r="R120" s="57"/>
      <c r="S120" s="57"/>
      <c r="T120" s="103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  <c r="AI120" s="211"/>
      <c r="AJ120" s="211"/>
      <c r="AK120" s="103"/>
    </row>
    <row r="121" customFormat="false" ht="12.8" hidden="false" customHeight="false" outlineLevel="0" collapsed="false">
      <c r="A121" s="103"/>
      <c r="C121" s="103"/>
      <c r="D121" s="57"/>
      <c r="E121" s="57"/>
      <c r="F121" s="57"/>
      <c r="G121" s="57"/>
      <c r="H121" s="66"/>
      <c r="I121" s="95" t="s">
        <v>774</v>
      </c>
      <c r="J121" s="95"/>
      <c r="K121" s="95"/>
      <c r="L121" s="170"/>
      <c r="M121" s="170"/>
      <c r="N121" s="57"/>
      <c r="O121" s="57"/>
      <c r="P121" s="57"/>
      <c r="Q121" s="57"/>
      <c r="R121" s="57"/>
      <c r="S121" s="57"/>
      <c r="T121" s="103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  <c r="AJ121" s="211"/>
      <c r="AK121" s="103"/>
    </row>
    <row r="122" customFormat="false" ht="12.8" hidden="false" customHeight="false" outlineLevel="0" collapsed="false">
      <c r="A122" s="103"/>
      <c r="C122" s="103"/>
      <c r="D122" s="57"/>
      <c r="E122" s="57"/>
      <c r="F122" s="57"/>
      <c r="G122" s="57"/>
      <c r="H122" s="66"/>
      <c r="I122" s="95" t="s">
        <v>775</v>
      </c>
      <c r="J122" s="95"/>
      <c r="K122" s="95"/>
      <c r="L122" s="170"/>
      <c r="M122" s="170"/>
      <c r="N122" s="57"/>
      <c r="O122" s="57"/>
      <c r="P122" s="57"/>
      <c r="Q122" s="57"/>
      <c r="R122" s="57"/>
      <c r="S122" s="57"/>
      <c r="T122" s="103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  <c r="AJ122" s="211"/>
      <c r="AK122" s="103"/>
    </row>
    <row r="123" customFormat="false" ht="12.8" hidden="false" customHeight="false" outlineLevel="0" collapsed="false">
      <c r="A123" s="103"/>
      <c r="C123" s="103"/>
      <c r="D123" s="57"/>
      <c r="E123" s="57"/>
      <c r="F123" s="57"/>
      <c r="G123" s="57"/>
      <c r="H123" s="66"/>
      <c r="I123" s="95" t="s">
        <v>776</v>
      </c>
      <c r="J123" s="95"/>
      <c r="K123" s="95"/>
      <c r="L123" s="170"/>
      <c r="M123" s="170"/>
      <c r="N123" s="57"/>
      <c r="O123" s="57"/>
      <c r="P123" s="57"/>
      <c r="Q123" s="57"/>
      <c r="R123" s="57"/>
      <c r="S123" s="57"/>
      <c r="T123" s="103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  <c r="AJ123" s="211"/>
      <c r="AK123" s="103"/>
    </row>
    <row r="124" customFormat="false" ht="12.8" hidden="false" customHeight="false" outlineLevel="0" collapsed="false">
      <c r="A124" s="103"/>
      <c r="C124" s="103"/>
      <c r="D124" s="57"/>
      <c r="E124" s="57"/>
      <c r="F124" s="57"/>
      <c r="G124" s="57"/>
      <c r="H124" s="66"/>
      <c r="I124" s="170" t="s">
        <v>777</v>
      </c>
      <c r="J124" s="170"/>
      <c r="K124" s="170"/>
      <c r="L124" s="170"/>
      <c r="M124" s="170"/>
      <c r="N124" s="57"/>
      <c r="O124" s="57"/>
      <c r="P124" s="57"/>
      <c r="Q124" s="57"/>
      <c r="R124" s="57"/>
      <c r="S124" s="57"/>
      <c r="T124" s="103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  <c r="AI124" s="211"/>
      <c r="AJ124" s="211"/>
      <c r="AK124" s="103"/>
    </row>
    <row r="125" customFormat="false" ht="12.8" hidden="false" customHeight="false" outlineLevel="0" collapsed="false">
      <c r="A125" s="103"/>
      <c r="C125" s="103"/>
      <c r="D125" s="57"/>
      <c r="E125" s="57"/>
      <c r="F125" s="57"/>
      <c r="G125" s="57"/>
      <c r="H125" s="66"/>
      <c r="I125" s="170" t="s">
        <v>778</v>
      </c>
      <c r="J125" s="170"/>
      <c r="K125" s="170"/>
      <c r="L125" s="170"/>
      <c r="M125" s="170"/>
      <c r="N125" s="57"/>
      <c r="O125" s="57"/>
      <c r="P125" s="57"/>
      <c r="Q125" s="57"/>
      <c r="R125" s="57"/>
      <c r="S125" s="57"/>
      <c r="T125" s="103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  <c r="AJ125" s="211"/>
      <c r="AK125" s="103"/>
    </row>
    <row r="126" customFormat="false" ht="12.8" hidden="false" customHeight="false" outlineLevel="0" collapsed="false">
      <c r="A126" s="103"/>
      <c r="C126" s="103"/>
      <c r="D126" s="57"/>
      <c r="E126" s="57"/>
      <c r="F126" s="57"/>
      <c r="G126" s="57"/>
      <c r="H126" s="66"/>
      <c r="I126" s="170" t="s">
        <v>779</v>
      </c>
      <c r="J126" s="170"/>
      <c r="K126" s="170"/>
      <c r="L126" s="170"/>
      <c r="M126" s="170"/>
      <c r="N126" s="57"/>
      <c r="O126" s="57"/>
      <c r="P126" s="57"/>
      <c r="Q126" s="57"/>
      <c r="R126" s="57"/>
      <c r="S126" s="57"/>
      <c r="T126" s="103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  <c r="AI126" s="211"/>
      <c r="AJ126" s="211"/>
      <c r="AK126" s="103"/>
    </row>
    <row r="127" customFormat="false" ht="12.8" hidden="false" customHeight="false" outlineLevel="0" collapsed="false">
      <c r="A127" s="103"/>
      <c r="C127" s="103"/>
      <c r="D127" s="57"/>
      <c r="E127" s="57"/>
      <c r="F127" s="57"/>
      <c r="G127" s="57"/>
      <c r="H127" s="66"/>
      <c r="I127" s="214" t="s">
        <v>780</v>
      </c>
      <c r="J127" s="214"/>
      <c r="K127" s="214"/>
      <c r="L127" s="170"/>
      <c r="M127" s="170"/>
      <c r="N127" s="57"/>
      <c r="O127" s="57"/>
      <c r="P127" s="57"/>
      <c r="Q127" s="57"/>
      <c r="R127" s="57"/>
      <c r="S127" s="57"/>
      <c r="T127" s="103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  <c r="AJ127" s="211"/>
      <c r="AK127" s="103"/>
    </row>
    <row r="128" customFormat="false" ht="12.8" hidden="false" customHeight="false" outlineLevel="0" collapsed="false">
      <c r="A128" s="103"/>
      <c r="C128" s="103"/>
      <c r="D128" s="57"/>
      <c r="E128" s="57"/>
      <c r="F128" s="57"/>
      <c r="G128" s="57"/>
      <c r="H128" s="57" t="s">
        <v>607</v>
      </c>
      <c r="I128" s="57" t="s">
        <v>607</v>
      </c>
      <c r="J128" s="57"/>
      <c r="K128" s="57"/>
      <c r="L128" s="170"/>
      <c r="M128" s="170"/>
      <c r="N128" s="57"/>
      <c r="O128" s="57"/>
      <c r="P128" s="57"/>
      <c r="Q128" s="57"/>
      <c r="R128" s="57"/>
      <c r="S128" s="57"/>
      <c r="T128" s="103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  <c r="AJ128" s="211"/>
      <c r="AK128" s="103"/>
    </row>
    <row r="129" customFormat="false" ht="12.8" hidden="false" customHeight="false" outlineLevel="0" collapsed="false">
      <c r="A129" s="103"/>
      <c r="C129" s="103"/>
      <c r="D129" s="57"/>
      <c r="E129" s="57"/>
      <c r="F129" s="57"/>
      <c r="G129" s="57"/>
      <c r="H129" s="57" t="n">
        <v>0</v>
      </c>
      <c r="I129" s="57" t="s">
        <v>781</v>
      </c>
      <c r="J129" s="57"/>
      <c r="K129" s="57"/>
      <c r="L129" s="170"/>
      <c r="M129" s="170"/>
      <c r="N129" s="57"/>
      <c r="O129" s="57"/>
      <c r="P129" s="57"/>
      <c r="Q129" s="57"/>
      <c r="R129" s="57"/>
      <c r="S129" s="57"/>
      <c r="T129" s="103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11"/>
      <c r="AK129" s="103"/>
    </row>
    <row r="130" customFormat="false" ht="12.8" hidden="false" customHeight="false" outlineLevel="0" collapsed="false">
      <c r="A130" s="103"/>
      <c r="C130" s="103"/>
      <c r="D130" s="57"/>
      <c r="E130" s="57"/>
      <c r="F130" s="57"/>
      <c r="G130" s="57"/>
      <c r="H130" s="57"/>
      <c r="I130" s="57"/>
      <c r="J130" s="57"/>
      <c r="K130" s="57"/>
      <c r="L130" s="215"/>
      <c r="M130" s="215"/>
      <c r="N130" s="57"/>
      <c r="O130" s="57"/>
      <c r="P130" s="57"/>
      <c r="Q130" s="57"/>
      <c r="R130" s="57"/>
      <c r="S130" s="57"/>
      <c r="T130" s="103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  <c r="AI130" s="211"/>
      <c r="AJ130" s="211"/>
      <c r="AK130" s="103"/>
    </row>
    <row r="131" customFormat="false" ht="7.45" hidden="false" customHeight="true" outlineLevel="0" collapsed="false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12"/>
      <c r="M131" s="103"/>
      <c r="N131" s="103"/>
      <c r="O131" s="103"/>
      <c r="P131" s="57"/>
      <c r="Q131" s="57"/>
      <c r="R131" s="57"/>
      <c r="S131" s="57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</row>
    <row r="132" customFormat="false" ht="12.8" hidden="false" customHeight="false" outlineLevel="0" collapsed="false">
      <c r="A132" s="103"/>
      <c r="C132" s="103"/>
      <c r="D132" s="57" t="s">
        <v>782</v>
      </c>
      <c r="E132" s="57"/>
      <c r="F132" s="57"/>
      <c r="G132" s="57"/>
      <c r="H132" s="57"/>
      <c r="I132" s="57"/>
      <c r="J132" s="57"/>
      <c r="K132" s="57"/>
      <c r="L132" s="57"/>
      <c r="M132" s="57"/>
      <c r="N132" s="109" t="s">
        <v>750</v>
      </c>
      <c r="O132" s="109"/>
      <c r="P132" s="57"/>
      <c r="Q132" s="57"/>
      <c r="R132" s="57"/>
      <c r="S132" s="57"/>
      <c r="T132" s="103"/>
      <c r="U132" s="211" t="s">
        <v>698</v>
      </c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  <c r="AJ132" s="211"/>
      <c r="AK132" s="103"/>
    </row>
    <row r="133" customFormat="false" ht="12.8" hidden="false" customHeight="false" outlineLevel="0" collapsed="false">
      <c r="A133" s="103"/>
      <c r="B133" s="0" t="s">
        <v>362</v>
      </c>
      <c r="C133" s="103"/>
      <c r="D133" s="179" t="s">
        <v>783</v>
      </c>
      <c r="E133" s="179"/>
      <c r="F133" s="179"/>
      <c r="G133" s="179"/>
      <c r="H133" s="179"/>
      <c r="I133" s="179"/>
      <c r="J133" s="179"/>
      <c r="K133" s="179"/>
      <c r="L133" s="179"/>
      <c r="M133" s="179"/>
      <c r="N133" s="57" t="s">
        <v>784</v>
      </c>
      <c r="O133" s="57"/>
      <c r="P133" s="57"/>
      <c r="Q133" s="57"/>
      <c r="R133" s="57"/>
      <c r="S133" s="57"/>
      <c r="T133" s="103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  <c r="AJ133" s="211"/>
      <c r="AK133" s="103"/>
    </row>
    <row r="134" customFormat="false" ht="12.8" hidden="false" customHeight="false" outlineLevel="0" collapsed="false">
      <c r="A134" s="103"/>
      <c r="C134" s="103"/>
      <c r="D134" s="170" t="s">
        <v>785</v>
      </c>
      <c r="E134" s="170"/>
      <c r="F134" s="170"/>
      <c r="G134" s="170"/>
      <c r="H134" s="170"/>
      <c r="I134" s="170"/>
      <c r="J134" s="170"/>
      <c r="K134" s="170"/>
      <c r="L134" s="170"/>
      <c r="M134" s="170"/>
      <c r="N134" s="57"/>
      <c r="O134" s="57"/>
      <c r="P134" s="57"/>
      <c r="Q134" s="57"/>
      <c r="R134" s="57"/>
      <c r="S134" s="57"/>
      <c r="T134" s="103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  <c r="AJ134" s="211"/>
      <c r="AK134" s="103"/>
    </row>
    <row r="135" customFormat="false" ht="12.8" hidden="false" customHeight="false" outlineLevel="0" collapsed="false">
      <c r="A135" s="103"/>
      <c r="C135" s="103"/>
      <c r="D135" s="170" t="s">
        <v>786</v>
      </c>
      <c r="E135" s="170"/>
      <c r="F135" s="170"/>
      <c r="G135" s="170"/>
      <c r="H135" s="170"/>
      <c r="I135" s="170"/>
      <c r="J135" s="170"/>
      <c r="K135" s="170"/>
      <c r="L135" s="170"/>
      <c r="M135" s="170"/>
      <c r="N135" s="57"/>
      <c r="O135" s="57"/>
      <c r="P135" s="57"/>
      <c r="Q135" s="57"/>
      <c r="R135" s="57"/>
      <c r="S135" s="57"/>
      <c r="T135" s="103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11"/>
      <c r="AG135" s="211"/>
      <c r="AH135" s="211"/>
      <c r="AI135" s="211"/>
      <c r="AJ135" s="211"/>
      <c r="AK135" s="103"/>
    </row>
    <row r="136" customFormat="false" ht="12.8" hidden="false" customHeight="false" outlineLevel="0" collapsed="false">
      <c r="A136" s="103"/>
      <c r="C136" s="103"/>
      <c r="D136" s="170" t="s">
        <v>787</v>
      </c>
      <c r="E136" s="170"/>
      <c r="F136" s="170"/>
      <c r="G136" s="170"/>
      <c r="H136" s="170"/>
      <c r="I136" s="170"/>
      <c r="J136" s="170"/>
      <c r="K136" s="170"/>
      <c r="L136" s="170"/>
      <c r="M136" s="170"/>
      <c r="N136" s="57"/>
      <c r="O136" s="57"/>
      <c r="P136" s="57"/>
      <c r="Q136" s="57"/>
      <c r="R136" s="57"/>
      <c r="S136" s="57"/>
      <c r="T136" s="103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11"/>
      <c r="AG136" s="211"/>
      <c r="AH136" s="211"/>
      <c r="AI136" s="211"/>
      <c r="AJ136" s="211"/>
      <c r="AK136" s="103"/>
    </row>
    <row r="137" customFormat="false" ht="12.8" hidden="false" customHeight="false" outlineLevel="0" collapsed="false">
      <c r="A137" s="103"/>
      <c r="C137" s="103"/>
      <c r="D137" s="170" t="s">
        <v>788</v>
      </c>
      <c r="E137" s="170"/>
      <c r="F137" s="170"/>
      <c r="G137" s="170"/>
      <c r="H137" s="170"/>
      <c r="I137" s="170"/>
      <c r="J137" s="170"/>
      <c r="K137" s="170"/>
      <c r="L137" s="170"/>
      <c r="M137" s="170"/>
      <c r="N137" s="57"/>
      <c r="O137" s="57"/>
      <c r="P137" s="57"/>
      <c r="Q137" s="57"/>
      <c r="R137" s="57"/>
      <c r="S137" s="57"/>
      <c r="T137" s="103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  <c r="AI137" s="211"/>
      <c r="AJ137" s="211"/>
      <c r="AK137" s="103"/>
    </row>
    <row r="138" customFormat="false" ht="12.8" hidden="false" customHeight="false" outlineLevel="0" collapsed="false">
      <c r="A138" s="103"/>
      <c r="C138" s="103"/>
      <c r="D138" s="170" t="s">
        <v>789</v>
      </c>
      <c r="E138" s="170"/>
      <c r="F138" s="170"/>
      <c r="G138" s="170"/>
      <c r="H138" s="170"/>
      <c r="I138" s="170"/>
      <c r="J138" s="170"/>
      <c r="K138" s="170"/>
      <c r="L138" s="170"/>
      <c r="M138" s="170"/>
      <c r="N138" s="57"/>
      <c r="O138" s="57"/>
      <c r="P138" s="57"/>
      <c r="Q138" s="57"/>
      <c r="R138" s="57"/>
      <c r="S138" s="57"/>
      <c r="T138" s="103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11"/>
      <c r="AG138" s="211"/>
      <c r="AH138" s="211"/>
      <c r="AI138" s="211"/>
      <c r="AJ138" s="211"/>
      <c r="AK138" s="103"/>
    </row>
    <row r="139" customFormat="false" ht="12.8" hidden="false" customHeight="false" outlineLevel="0" collapsed="false">
      <c r="A139" s="103"/>
      <c r="C139" s="103"/>
      <c r="D139" s="170" t="s">
        <v>790</v>
      </c>
      <c r="E139" s="170"/>
      <c r="F139" s="170"/>
      <c r="G139" s="170"/>
      <c r="H139" s="170"/>
      <c r="I139" s="170"/>
      <c r="J139" s="170"/>
      <c r="K139" s="170"/>
      <c r="L139" s="170"/>
      <c r="M139" s="170"/>
      <c r="N139" s="57"/>
      <c r="O139" s="57"/>
      <c r="P139" s="57"/>
      <c r="Q139" s="57"/>
      <c r="R139" s="57"/>
      <c r="S139" s="57"/>
      <c r="T139" s="103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11"/>
      <c r="AG139" s="211"/>
      <c r="AH139" s="211"/>
      <c r="AI139" s="211"/>
      <c r="AJ139" s="211"/>
      <c r="AK139" s="103"/>
    </row>
    <row r="140" customFormat="false" ht="12.8" hidden="false" customHeight="false" outlineLevel="0" collapsed="false">
      <c r="A140" s="103"/>
      <c r="C140" s="103"/>
      <c r="D140" s="170" t="s">
        <v>1298</v>
      </c>
      <c r="E140" s="170"/>
      <c r="F140" s="170"/>
      <c r="G140" s="170"/>
      <c r="H140" s="170"/>
      <c r="I140" s="170"/>
      <c r="J140" s="170"/>
      <c r="K140" s="170"/>
      <c r="L140" s="170"/>
      <c r="M140" s="170"/>
      <c r="N140" s="57"/>
      <c r="O140" s="57"/>
      <c r="P140" s="57"/>
      <c r="Q140" s="57"/>
      <c r="R140" s="57"/>
      <c r="S140" s="57"/>
      <c r="T140" s="103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  <c r="AI140" s="211"/>
      <c r="AJ140" s="211"/>
      <c r="AK140" s="103"/>
    </row>
    <row r="141" customFormat="false" ht="12.8" hidden="false" customHeight="false" outlineLevel="0" collapsed="false">
      <c r="A141" s="103"/>
      <c r="C141" s="103"/>
      <c r="D141" s="170" t="s">
        <v>1299</v>
      </c>
      <c r="E141" s="170"/>
      <c r="F141" s="170"/>
      <c r="G141" s="170"/>
      <c r="H141" s="170"/>
      <c r="I141" s="170"/>
      <c r="J141" s="170"/>
      <c r="K141" s="170"/>
      <c r="L141" s="170"/>
      <c r="M141" s="170"/>
      <c r="N141" s="57"/>
      <c r="O141" s="57"/>
      <c r="P141" s="57"/>
      <c r="Q141" s="57"/>
      <c r="R141" s="57"/>
      <c r="S141" s="57"/>
      <c r="T141" s="103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  <c r="AI141" s="211"/>
      <c r="AJ141" s="211"/>
      <c r="AK141" s="103"/>
    </row>
    <row r="142" customFormat="false" ht="12.8" hidden="false" customHeight="false" outlineLevel="0" collapsed="false">
      <c r="A142" s="103"/>
      <c r="C142" s="103"/>
      <c r="D142" s="214" t="s">
        <v>793</v>
      </c>
      <c r="E142" s="214"/>
      <c r="F142" s="214"/>
      <c r="G142" s="214"/>
      <c r="H142" s="214"/>
      <c r="I142" s="214"/>
      <c r="J142" s="214"/>
      <c r="K142" s="214"/>
      <c r="L142" s="214"/>
      <c r="M142" s="214"/>
      <c r="N142" s="57"/>
      <c r="O142" s="57"/>
      <c r="P142" s="57"/>
      <c r="Q142" s="57"/>
      <c r="R142" s="57"/>
      <c r="S142" s="57"/>
      <c r="T142" s="103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  <c r="AI142" s="211"/>
      <c r="AJ142" s="211"/>
      <c r="AK142" s="103"/>
    </row>
    <row r="143" customFormat="false" ht="7.45" hidden="false" customHeight="true" outlineLevel="0" collapsed="false">
      <c r="A143" s="103"/>
      <c r="B143" s="103"/>
      <c r="C143" s="103"/>
      <c r="D143" s="112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57"/>
      <c r="Q143" s="57"/>
      <c r="R143" s="57"/>
      <c r="S143" s="57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</row>
    <row r="144" customFormat="false" ht="12.8" hidden="false" customHeight="false" outlineLevel="0" collapsed="false">
      <c r="A144" s="103"/>
      <c r="C144" s="103"/>
      <c r="D144" s="57" t="s">
        <v>722</v>
      </c>
      <c r="E144" s="57"/>
      <c r="F144" s="57"/>
      <c r="G144" s="30" t="s">
        <v>794</v>
      </c>
      <c r="H144" s="30" t="s">
        <v>795</v>
      </c>
      <c r="I144" s="30" t="s">
        <v>796</v>
      </c>
      <c r="J144" s="30" t="s">
        <v>797</v>
      </c>
      <c r="K144" s="30" t="s">
        <v>798</v>
      </c>
      <c r="L144" s="210" t="s">
        <v>707</v>
      </c>
      <c r="M144" s="210"/>
      <c r="N144" s="109" t="s">
        <v>750</v>
      </c>
      <c r="O144" s="109"/>
      <c r="P144" s="57"/>
      <c r="Q144" s="57"/>
      <c r="R144" s="57"/>
      <c r="S144" s="57"/>
      <c r="T144" s="103"/>
      <c r="U144" s="211" t="s">
        <v>698</v>
      </c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  <c r="AI144" s="211"/>
      <c r="AJ144" s="211"/>
      <c r="AK144" s="103"/>
    </row>
    <row r="145" customFormat="false" ht="12.8" hidden="false" customHeight="false" outlineLevel="0" collapsed="false">
      <c r="A145" s="103"/>
      <c r="B145" s="0" t="s">
        <v>366</v>
      </c>
      <c r="C145" s="103"/>
      <c r="D145" s="216"/>
      <c r="E145" s="183"/>
      <c r="F145" s="184"/>
      <c r="G145" s="93" t="s">
        <v>799</v>
      </c>
      <c r="H145" s="93" t="s">
        <v>799</v>
      </c>
      <c r="I145" s="93" t="s">
        <v>799</v>
      </c>
      <c r="J145" s="93" t="s">
        <v>799</v>
      </c>
      <c r="K145" s="93" t="s">
        <v>799</v>
      </c>
      <c r="L145" s="110" t="s">
        <v>800</v>
      </c>
      <c r="M145" s="110"/>
      <c r="N145" s="57" t="s">
        <v>801</v>
      </c>
      <c r="O145" s="57"/>
      <c r="P145" s="57"/>
      <c r="Q145" s="57"/>
      <c r="R145" s="57"/>
      <c r="S145" s="57"/>
      <c r="T145" s="103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103"/>
    </row>
    <row r="146" customFormat="false" ht="12.8" hidden="false" customHeight="false" outlineLevel="0" collapsed="false">
      <c r="A146" s="103"/>
      <c r="C146" s="103"/>
      <c r="D146" s="217"/>
      <c r="E146" s="190"/>
      <c r="F146" s="191"/>
      <c r="G146" s="94" t="s">
        <v>802</v>
      </c>
      <c r="H146" s="94" t="s">
        <v>802</v>
      </c>
      <c r="I146" s="94" t="s">
        <v>802</v>
      </c>
      <c r="J146" s="94" t="s">
        <v>802</v>
      </c>
      <c r="K146" s="94" t="s">
        <v>802</v>
      </c>
      <c r="L146" s="110"/>
      <c r="M146" s="110"/>
      <c r="N146" s="57"/>
      <c r="O146" s="57"/>
      <c r="P146" s="57"/>
      <c r="Q146" s="57"/>
      <c r="R146" s="57"/>
      <c r="S146" s="57"/>
      <c r="T146" s="103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103"/>
    </row>
    <row r="147" customFormat="false" ht="7.45" hidden="false" customHeight="true" outlineLevel="0" collapsed="false">
      <c r="A147" s="103"/>
      <c r="B147" s="103"/>
      <c r="C147" s="103"/>
      <c r="D147" s="112"/>
      <c r="E147" s="103"/>
      <c r="F147" s="103"/>
      <c r="G147" s="103"/>
      <c r="H147" s="103"/>
      <c r="I147" s="103"/>
      <c r="J147" s="103"/>
      <c r="K147" s="103"/>
      <c r="L147" s="103"/>
      <c r="M147" s="103"/>
      <c r="N147" s="57"/>
      <c r="O147" s="57"/>
      <c r="P147" s="57"/>
      <c r="Q147" s="57"/>
      <c r="R147" s="57"/>
      <c r="S147" s="57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</row>
    <row r="148" customFormat="false" ht="12.8" hidden="false" customHeight="false" outlineLevel="0" collapsed="false">
      <c r="A148" s="103"/>
      <c r="C148" s="103"/>
      <c r="D148" s="109" t="s">
        <v>661</v>
      </c>
      <c r="E148" s="109"/>
      <c r="F148" s="109"/>
      <c r="G148" s="150" t="s">
        <v>660</v>
      </c>
      <c r="H148" s="150"/>
      <c r="I148" s="150"/>
      <c r="J148" s="57" t="s">
        <v>722</v>
      </c>
      <c r="K148" s="57"/>
      <c r="L148" s="210" t="s">
        <v>707</v>
      </c>
      <c r="M148" s="210"/>
      <c r="N148" s="109" t="s">
        <v>750</v>
      </c>
      <c r="O148" s="109"/>
      <c r="P148" s="57"/>
      <c r="Q148" s="57"/>
      <c r="R148" s="57"/>
      <c r="S148" s="57"/>
      <c r="T148" s="103"/>
      <c r="U148" s="211" t="s">
        <v>698</v>
      </c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103"/>
    </row>
    <row r="149" customFormat="false" ht="12.8" hidden="false" customHeight="false" outlineLevel="0" collapsed="false">
      <c r="A149" s="103"/>
      <c r="B149" s="0" t="s">
        <v>370</v>
      </c>
      <c r="C149" s="103"/>
      <c r="D149" s="154" t="s">
        <v>803</v>
      </c>
      <c r="E149" s="154"/>
      <c r="F149" s="80" t="s">
        <v>804</v>
      </c>
      <c r="G149" s="57" t="s">
        <v>607</v>
      </c>
      <c r="H149" s="57"/>
      <c r="I149" s="57"/>
      <c r="J149" s="183"/>
      <c r="K149" s="184"/>
      <c r="L149" s="110" t="s">
        <v>805</v>
      </c>
      <c r="M149" s="110"/>
      <c r="N149" s="57" t="s">
        <v>806</v>
      </c>
      <c r="O149" s="57"/>
      <c r="P149" s="57"/>
      <c r="Q149" s="57"/>
      <c r="R149" s="57"/>
      <c r="S149" s="57"/>
      <c r="T149" s="103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103"/>
    </row>
    <row r="150" customFormat="false" ht="12.8" hidden="false" customHeight="false" outlineLevel="0" collapsed="false">
      <c r="A150" s="103"/>
      <c r="C150" s="103"/>
      <c r="D150" s="154" t="s">
        <v>770</v>
      </c>
      <c r="E150" s="154"/>
      <c r="F150" s="0" t="s">
        <v>737</v>
      </c>
      <c r="G150" s="57" t="s">
        <v>668</v>
      </c>
      <c r="H150" s="57"/>
      <c r="I150" s="57"/>
      <c r="K150" s="127"/>
      <c r="L150" s="110"/>
      <c r="M150" s="110"/>
      <c r="N150" s="57"/>
      <c r="O150" s="57"/>
      <c r="P150" s="57"/>
      <c r="Q150" s="57"/>
      <c r="R150" s="57"/>
      <c r="S150" s="57"/>
      <c r="T150" s="103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103"/>
    </row>
    <row r="151" customFormat="false" ht="12.8" hidden="false" customHeight="false" outlineLevel="0" collapsed="false">
      <c r="A151" s="103"/>
      <c r="C151" s="103"/>
      <c r="D151" s="154"/>
      <c r="E151" s="154"/>
      <c r="F151" s="94" t="s">
        <v>807</v>
      </c>
      <c r="G151" s="57"/>
      <c r="H151" s="57"/>
      <c r="I151" s="57"/>
      <c r="J151" s="190"/>
      <c r="K151" s="191"/>
      <c r="L151" s="110"/>
      <c r="M151" s="110"/>
      <c r="N151" s="57"/>
      <c r="O151" s="57"/>
      <c r="P151" s="57"/>
      <c r="Q151" s="57"/>
      <c r="R151" s="57"/>
      <c r="S151" s="57"/>
      <c r="T151" s="103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11"/>
      <c r="AG151" s="211"/>
      <c r="AH151" s="211"/>
      <c r="AI151" s="211"/>
      <c r="AJ151" s="211"/>
      <c r="AK151" s="103"/>
    </row>
    <row r="152" customFormat="false" ht="7.45" hidden="false" customHeight="true" outlineLevel="0" collapsed="false">
      <c r="A152" s="103"/>
      <c r="B152" s="103"/>
      <c r="C152" s="103"/>
      <c r="D152" s="103"/>
      <c r="E152" s="103"/>
      <c r="F152" s="103"/>
      <c r="G152" s="103"/>
      <c r="H152" s="103"/>
      <c r="I152" s="103"/>
      <c r="J152" s="112"/>
      <c r="K152" s="103"/>
      <c r="L152" s="103"/>
      <c r="M152" s="103"/>
      <c r="N152" s="103"/>
      <c r="O152" s="103"/>
      <c r="P152" s="57"/>
      <c r="Q152" s="57"/>
      <c r="R152" s="57"/>
      <c r="S152" s="57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</row>
    <row r="153" customFormat="false" ht="12.8" hidden="false" customHeight="false" outlineLevel="0" collapsed="false">
      <c r="A153" s="103"/>
      <c r="C153" s="103"/>
      <c r="D153" s="57" t="s">
        <v>607</v>
      </c>
      <c r="E153" s="57"/>
      <c r="F153" s="57" t="s">
        <v>808</v>
      </c>
      <c r="G153" s="57"/>
      <c r="H153" s="80" t="s">
        <v>809</v>
      </c>
      <c r="I153" s="57" t="s">
        <v>675</v>
      </c>
      <c r="J153" s="57"/>
      <c r="K153" s="57"/>
      <c r="L153" s="210" t="s">
        <v>707</v>
      </c>
      <c r="M153" s="210"/>
      <c r="N153" s="57" t="s">
        <v>810</v>
      </c>
      <c r="O153" s="57"/>
      <c r="P153" s="57"/>
      <c r="Q153" s="57"/>
      <c r="R153" s="57"/>
      <c r="S153" s="57"/>
      <c r="T153" s="103"/>
      <c r="U153" s="211" t="s">
        <v>698</v>
      </c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11"/>
      <c r="AG153" s="211"/>
      <c r="AH153" s="211"/>
      <c r="AI153" s="211"/>
      <c r="AJ153" s="211"/>
      <c r="AK153" s="103"/>
    </row>
    <row r="154" customFormat="false" ht="12.8" hidden="false" customHeight="false" outlineLevel="0" collapsed="false">
      <c r="A154" s="103"/>
      <c r="B154" s="0" t="s">
        <v>373</v>
      </c>
      <c r="C154" s="103"/>
      <c r="D154" s="57" t="s">
        <v>770</v>
      </c>
      <c r="E154" s="57"/>
      <c r="F154" s="182"/>
      <c r="G154" s="184"/>
      <c r="H154" s="93" t="s">
        <v>811</v>
      </c>
      <c r="I154" s="179" t="s">
        <v>772</v>
      </c>
      <c r="J154" s="179"/>
      <c r="K154" s="179"/>
      <c r="L154" s="110" t="s">
        <v>812</v>
      </c>
      <c r="M154" s="110"/>
      <c r="N154" s="57"/>
      <c r="O154" s="57"/>
      <c r="P154" s="57"/>
      <c r="Q154" s="57"/>
      <c r="R154" s="57"/>
      <c r="S154" s="57"/>
      <c r="T154" s="103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11"/>
      <c r="AG154" s="211"/>
      <c r="AH154" s="211"/>
      <c r="AI154" s="211"/>
      <c r="AJ154" s="211"/>
      <c r="AK154" s="103"/>
    </row>
    <row r="155" customFormat="false" ht="12.8" hidden="false" customHeight="false" outlineLevel="0" collapsed="false">
      <c r="A155" s="103"/>
      <c r="C155" s="103"/>
      <c r="D155" s="57"/>
      <c r="E155" s="57"/>
      <c r="F155" s="212"/>
      <c r="G155" s="127"/>
      <c r="H155" s="95" t="s">
        <v>813</v>
      </c>
      <c r="I155" s="95" t="s">
        <v>774</v>
      </c>
      <c r="J155" s="95"/>
      <c r="K155" s="95"/>
      <c r="L155" s="110"/>
      <c r="M155" s="110"/>
      <c r="N155" s="57"/>
      <c r="O155" s="57"/>
      <c r="P155" s="57"/>
      <c r="Q155" s="57"/>
      <c r="R155" s="57"/>
      <c r="S155" s="57"/>
      <c r="T155" s="103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11"/>
      <c r="AG155" s="211"/>
      <c r="AH155" s="211"/>
      <c r="AI155" s="211"/>
      <c r="AJ155" s="211"/>
      <c r="AK155" s="103"/>
    </row>
    <row r="156" customFormat="false" ht="12.8" hidden="false" customHeight="false" outlineLevel="0" collapsed="false">
      <c r="A156" s="103"/>
      <c r="C156" s="103"/>
      <c r="D156" s="57"/>
      <c r="E156" s="57"/>
      <c r="F156" s="212"/>
      <c r="G156" s="127"/>
      <c r="H156" s="95"/>
      <c r="I156" s="95" t="s">
        <v>775</v>
      </c>
      <c r="J156" s="95"/>
      <c r="K156" s="95"/>
      <c r="L156" s="110"/>
      <c r="M156" s="110"/>
      <c r="N156" s="57"/>
      <c r="O156" s="57"/>
      <c r="P156" s="57"/>
      <c r="Q156" s="57"/>
      <c r="R156" s="57"/>
      <c r="S156" s="57"/>
      <c r="T156" s="103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  <c r="AI156" s="211"/>
      <c r="AJ156" s="211"/>
      <c r="AK156" s="103"/>
    </row>
    <row r="157" customFormat="false" ht="12.8" hidden="false" customHeight="false" outlineLevel="0" collapsed="false">
      <c r="A157" s="103"/>
      <c r="C157" s="103"/>
      <c r="D157" s="57"/>
      <c r="E157" s="57"/>
      <c r="F157" s="212"/>
      <c r="G157" s="127"/>
      <c r="H157" s="95"/>
      <c r="I157" s="95" t="s">
        <v>776</v>
      </c>
      <c r="J157" s="95"/>
      <c r="K157" s="95"/>
      <c r="L157" s="110"/>
      <c r="M157" s="110"/>
      <c r="N157" s="57"/>
      <c r="O157" s="57"/>
      <c r="P157" s="57"/>
      <c r="Q157" s="57"/>
      <c r="R157" s="57"/>
      <c r="S157" s="57"/>
      <c r="T157" s="103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11"/>
      <c r="AG157" s="211"/>
      <c r="AH157" s="211"/>
      <c r="AI157" s="211"/>
      <c r="AJ157" s="211"/>
      <c r="AK157" s="103"/>
    </row>
    <row r="158" customFormat="false" ht="12.8" hidden="false" customHeight="false" outlineLevel="0" collapsed="false">
      <c r="A158" s="103"/>
      <c r="C158" s="103"/>
      <c r="D158" s="57"/>
      <c r="E158" s="57"/>
      <c r="F158" s="212"/>
      <c r="G158" s="127"/>
      <c r="H158" s="95"/>
      <c r="I158" s="170" t="s">
        <v>777</v>
      </c>
      <c r="J158" s="170"/>
      <c r="K158" s="170"/>
      <c r="L158" s="110"/>
      <c r="M158" s="110"/>
      <c r="N158" s="57"/>
      <c r="O158" s="57"/>
      <c r="P158" s="57"/>
      <c r="Q158" s="57"/>
      <c r="R158" s="57"/>
      <c r="S158" s="57"/>
      <c r="T158" s="103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  <c r="AI158" s="211"/>
      <c r="AJ158" s="211"/>
      <c r="AK158" s="103"/>
    </row>
    <row r="159" customFormat="false" ht="12.8" hidden="false" customHeight="false" outlineLevel="0" collapsed="false">
      <c r="A159" s="103"/>
      <c r="C159" s="103"/>
      <c r="D159" s="57"/>
      <c r="E159" s="57"/>
      <c r="F159" s="212"/>
      <c r="G159" s="127"/>
      <c r="H159" s="95"/>
      <c r="I159" s="170" t="s">
        <v>778</v>
      </c>
      <c r="J159" s="170"/>
      <c r="K159" s="170"/>
      <c r="L159" s="110"/>
      <c r="M159" s="110"/>
      <c r="N159" s="57"/>
      <c r="O159" s="57"/>
      <c r="P159" s="57"/>
      <c r="Q159" s="57"/>
      <c r="R159" s="57"/>
      <c r="S159" s="57"/>
      <c r="T159" s="103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  <c r="AI159" s="211"/>
      <c r="AJ159" s="211"/>
      <c r="AK159" s="103"/>
    </row>
    <row r="160" customFormat="false" ht="12.8" hidden="false" customHeight="false" outlineLevel="0" collapsed="false">
      <c r="A160" s="103"/>
      <c r="C160" s="103"/>
      <c r="D160" s="57"/>
      <c r="E160" s="57"/>
      <c r="F160" s="212"/>
      <c r="G160" s="127"/>
      <c r="H160" s="95"/>
      <c r="I160" s="170" t="s">
        <v>779</v>
      </c>
      <c r="J160" s="170"/>
      <c r="K160" s="170"/>
      <c r="L160" s="110"/>
      <c r="M160" s="110"/>
      <c r="N160" s="57"/>
      <c r="O160" s="57"/>
      <c r="P160" s="57"/>
      <c r="Q160" s="57"/>
      <c r="R160" s="57"/>
      <c r="S160" s="57"/>
      <c r="T160" s="103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  <c r="AI160" s="211"/>
      <c r="AJ160" s="211"/>
      <c r="AK160" s="103"/>
    </row>
    <row r="161" customFormat="false" ht="12.8" hidden="false" customHeight="false" outlineLevel="0" collapsed="false">
      <c r="A161" s="103"/>
      <c r="C161" s="103"/>
      <c r="D161" s="57"/>
      <c r="E161" s="57"/>
      <c r="F161" s="189"/>
      <c r="G161" s="191"/>
      <c r="H161" s="94"/>
      <c r="I161" s="214" t="s">
        <v>780</v>
      </c>
      <c r="J161" s="214"/>
      <c r="K161" s="214"/>
      <c r="L161" s="110"/>
      <c r="M161" s="110"/>
      <c r="N161" s="57"/>
      <c r="O161" s="57"/>
      <c r="P161" s="57"/>
      <c r="Q161" s="57"/>
      <c r="R161" s="57"/>
      <c r="S161" s="57"/>
      <c r="T161" s="103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  <c r="AI161" s="211"/>
      <c r="AJ161" s="211"/>
      <c r="AK161" s="103"/>
    </row>
    <row r="162" customFormat="false" ht="7.45" hidden="false" customHeight="true" outlineLevel="0" collapsed="false">
      <c r="A162" s="103"/>
      <c r="B162" s="103"/>
      <c r="C162" s="103"/>
      <c r="D162" s="146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</row>
    <row r="163" customFormat="false" ht="12.8" hidden="false" customHeight="false" outlineLevel="0" collapsed="false">
      <c r="A163" s="103"/>
      <c r="B163" s="0" t="s">
        <v>376</v>
      </c>
      <c r="C163" s="103"/>
      <c r="D163" s="57" t="s">
        <v>814</v>
      </c>
      <c r="E163" s="57"/>
      <c r="F163" s="57"/>
      <c r="G163" s="57" t="s">
        <v>815</v>
      </c>
      <c r="H163" s="57"/>
      <c r="I163" s="109" t="s">
        <v>733</v>
      </c>
      <c r="J163" s="109"/>
      <c r="K163" s="109"/>
      <c r="L163" s="57" t="s">
        <v>707</v>
      </c>
      <c r="M163" s="57"/>
      <c r="N163" s="109" t="s">
        <v>750</v>
      </c>
      <c r="O163" s="109"/>
      <c r="P163" s="57" t="s">
        <v>816</v>
      </c>
      <c r="Q163" s="57"/>
      <c r="R163" s="57"/>
      <c r="S163" s="57"/>
      <c r="T163" s="103"/>
      <c r="U163" s="57" t="s">
        <v>817</v>
      </c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103"/>
    </row>
    <row r="164" customFormat="false" ht="12.8" hidden="false" customHeight="false" outlineLevel="0" collapsed="false">
      <c r="A164" s="103"/>
      <c r="B164" s="0" t="s">
        <v>380</v>
      </c>
      <c r="C164" s="103"/>
      <c r="D164" s="57" t="s">
        <v>818</v>
      </c>
      <c r="E164" s="57"/>
      <c r="F164" s="57"/>
      <c r="G164" s="57" t="s">
        <v>819</v>
      </c>
      <c r="H164" s="57"/>
      <c r="I164" s="57" t="s">
        <v>675</v>
      </c>
      <c r="J164" s="57"/>
      <c r="K164" s="57"/>
      <c r="L164" s="179" t="s">
        <v>820</v>
      </c>
      <c r="M164" s="179"/>
      <c r="N164" s="218" t="s">
        <v>821</v>
      </c>
      <c r="O164" s="218"/>
      <c r="P164" s="57"/>
      <c r="Q164" s="57"/>
      <c r="R164" s="57"/>
      <c r="S164" s="57"/>
      <c r="T164" s="103"/>
      <c r="U164" s="161" t="s">
        <v>822</v>
      </c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03"/>
    </row>
    <row r="165" customFormat="false" ht="12.8" hidden="false" customHeight="false" outlineLevel="0" collapsed="false">
      <c r="A165" s="103"/>
      <c r="C165" s="103"/>
      <c r="D165" s="57"/>
      <c r="E165" s="57"/>
      <c r="F165" s="57"/>
      <c r="G165" s="57"/>
      <c r="H165" s="57"/>
      <c r="I165" s="57" t="s">
        <v>823</v>
      </c>
      <c r="J165" s="57"/>
      <c r="K165" s="57"/>
      <c r="L165" s="170" t="s">
        <v>824</v>
      </c>
      <c r="M165" s="170"/>
      <c r="N165" s="218"/>
      <c r="O165" s="218"/>
      <c r="P165" s="57"/>
      <c r="Q165" s="57"/>
      <c r="R165" s="57"/>
      <c r="S165" s="57"/>
      <c r="T165" s="103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03"/>
    </row>
    <row r="166" customFormat="false" ht="12.8" hidden="false" customHeight="false" outlineLevel="0" collapsed="false">
      <c r="A166" s="103"/>
      <c r="C166" s="103"/>
      <c r="D166" s="57"/>
      <c r="E166" s="57"/>
      <c r="F166" s="57"/>
      <c r="G166" s="57"/>
      <c r="H166" s="57"/>
      <c r="I166" s="57"/>
      <c r="J166" s="57"/>
      <c r="K166" s="57"/>
      <c r="L166" s="170" t="s">
        <v>825</v>
      </c>
      <c r="M166" s="170"/>
      <c r="N166" s="218"/>
      <c r="O166" s="218"/>
      <c r="P166" s="57"/>
      <c r="Q166" s="57"/>
      <c r="R166" s="57"/>
      <c r="S166" s="57"/>
      <c r="T166" s="103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03"/>
    </row>
    <row r="167" customFormat="false" ht="12.8" hidden="false" customHeight="false" outlineLevel="0" collapsed="false">
      <c r="A167" s="103"/>
      <c r="C167" s="103"/>
      <c r="D167" s="57"/>
      <c r="E167" s="57"/>
      <c r="F167" s="57"/>
      <c r="G167" s="57"/>
      <c r="H167" s="57"/>
      <c r="I167" s="57" t="s">
        <v>694</v>
      </c>
      <c r="J167" s="57"/>
      <c r="K167" s="109" t="s">
        <v>750</v>
      </c>
      <c r="L167" s="170" t="s">
        <v>826</v>
      </c>
      <c r="M167" s="170"/>
      <c r="N167" s="202" t="s">
        <v>827</v>
      </c>
      <c r="O167" s="202"/>
      <c r="P167" s="57"/>
      <c r="Q167" s="57"/>
      <c r="R167" s="57"/>
      <c r="S167" s="57"/>
      <c r="T167" s="103"/>
      <c r="U167" s="161" t="s">
        <v>698</v>
      </c>
      <c r="V167" s="161"/>
      <c r="W167" s="161"/>
      <c r="X167" s="161"/>
      <c r="Y167" s="161"/>
      <c r="Z167" s="161"/>
      <c r="AA167" s="161"/>
      <c r="AB167" s="161"/>
      <c r="AC167" s="57" t="s">
        <v>699</v>
      </c>
      <c r="AD167" s="57"/>
      <c r="AE167" s="57"/>
      <c r="AF167" s="57"/>
      <c r="AG167" s="57"/>
      <c r="AH167" s="57"/>
      <c r="AI167" s="57"/>
      <c r="AJ167" s="57"/>
      <c r="AK167" s="103"/>
    </row>
    <row r="168" customFormat="false" ht="14.15" hidden="false" customHeight="true" outlineLevel="0" collapsed="false">
      <c r="A168" s="103"/>
      <c r="C168" s="103"/>
      <c r="D168" s="57"/>
      <c r="E168" s="57"/>
      <c r="F168" s="57"/>
      <c r="G168" s="57"/>
      <c r="H168" s="57"/>
      <c r="I168" s="125" t="s">
        <v>828</v>
      </c>
      <c r="J168" s="125"/>
      <c r="K168" s="57" t="n">
        <v>0</v>
      </c>
      <c r="L168" s="170"/>
      <c r="M168" s="170"/>
      <c r="N168" s="202"/>
      <c r="O168" s="202"/>
      <c r="P168" s="57"/>
      <c r="Q168" s="57"/>
      <c r="R168" s="57"/>
      <c r="S168" s="57"/>
      <c r="T168" s="103"/>
      <c r="U168" s="57" t="s">
        <v>745</v>
      </c>
      <c r="V168" s="57"/>
      <c r="W168" s="57"/>
      <c r="X168" s="57"/>
      <c r="Y168" s="57"/>
      <c r="Z168" s="57"/>
      <c r="AA168" s="57"/>
      <c r="AB168" s="57"/>
      <c r="AC168" s="57" t="s">
        <v>746</v>
      </c>
      <c r="AD168" s="57"/>
      <c r="AE168" s="57"/>
      <c r="AF168" s="57"/>
      <c r="AG168" s="57"/>
      <c r="AH168" s="57"/>
      <c r="AI168" s="57"/>
      <c r="AJ168" s="57"/>
      <c r="AK168" s="103"/>
    </row>
    <row r="169" customFormat="false" ht="12.8" hidden="false" customHeight="true" outlineLevel="0" collapsed="false">
      <c r="A169" s="103"/>
      <c r="C169" s="103"/>
      <c r="D169" s="57"/>
      <c r="E169" s="57"/>
      <c r="F169" s="57"/>
      <c r="G169" s="57"/>
      <c r="H169" s="57"/>
      <c r="I169" s="125"/>
      <c r="J169" s="125"/>
      <c r="K169" s="57"/>
      <c r="L169" s="215"/>
      <c r="M169" s="215"/>
      <c r="N169" s="202"/>
      <c r="O169" s="202"/>
      <c r="P169" s="57"/>
      <c r="Q169" s="57"/>
      <c r="R169" s="57"/>
      <c r="S169" s="57"/>
      <c r="T169" s="103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103"/>
    </row>
    <row r="170" customFormat="false" ht="7.45" hidden="false" customHeight="true" outlineLevel="0" collapsed="false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57"/>
      <c r="Q170" s="57"/>
      <c r="R170" s="57"/>
      <c r="S170" s="57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</row>
    <row r="171" customFormat="false" ht="12.8" hidden="false" customHeight="false" outlineLevel="0" collapsed="false">
      <c r="A171" s="103"/>
      <c r="B171" s="0" t="s">
        <v>390</v>
      </c>
      <c r="C171" s="103"/>
      <c r="D171" s="57" t="s">
        <v>675</v>
      </c>
      <c r="E171" s="57"/>
      <c r="F171" s="57"/>
      <c r="G171" s="57"/>
      <c r="H171" s="57"/>
      <c r="I171" s="57"/>
      <c r="J171" s="57"/>
      <c r="K171" s="109" t="s">
        <v>750</v>
      </c>
      <c r="L171" s="80" t="s">
        <v>686</v>
      </c>
      <c r="M171" s="57" t="s">
        <v>707</v>
      </c>
      <c r="N171" s="57" t="s">
        <v>829</v>
      </c>
      <c r="O171" s="57"/>
      <c r="P171" s="57"/>
      <c r="Q171" s="57"/>
      <c r="R171" s="57"/>
      <c r="S171" s="57"/>
      <c r="T171" s="103"/>
      <c r="U171" s="211" t="s">
        <v>822</v>
      </c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  <c r="AJ171" s="211"/>
      <c r="AK171" s="103"/>
    </row>
    <row r="172" customFormat="false" ht="12.8" hidden="false" customHeight="false" outlineLevel="0" collapsed="false">
      <c r="A172" s="103"/>
      <c r="C172" s="103"/>
      <c r="D172" s="57" t="s">
        <v>830</v>
      </c>
      <c r="E172" s="57"/>
      <c r="F172" s="57"/>
      <c r="G172" s="57"/>
      <c r="H172" s="57"/>
      <c r="I172" s="57"/>
      <c r="J172" s="57"/>
      <c r="K172" s="57" t="n">
        <v>1</v>
      </c>
      <c r="L172" s="93"/>
      <c r="M172" s="110" t="s">
        <v>831</v>
      </c>
      <c r="N172" s="57"/>
      <c r="O172" s="57"/>
      <c r="P172" s="57"/>
      <c r="Q172" s="57"/>
      <c r="R172" s="57"/>
      <c r="S172" s="57"/>
      <c r="T172" s="103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11"/>
      <c r="AK172" s="103"/>
    </row>
    <row r="173" customFormat="false" ht="12.8" hidden="false" customHeight="false" outlineLevel="0" collapsed="false">
      <c r="A173" s="103"/>
      <c r="C173" s="103"/>
      <c r="D173" s="57"/>
      <c r="E173" s="57"/>
      <c r="F173" s="57"/>
      <c r="G173" s="57"/>
      <c r="H173" s="57"/>
      <c r="I173" s="57"/>
      <c r="J173" s="57"/>
      <c r="K173" s="57"/>
      <c r="L173" s="94"/>
      <c r="M173" s="110"/>
      <c r="N173" s="57"/>
      <c r="O173" s="57"/>
      <c r="P173" s="57"/>
      <c r="Q173" s="57"/>
      <c r="R173" s="57"/>
      <c r="S173" s="57"/>
      <c r="T173" s="103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11"/>
      <c r="AK173" s="103"/>
    </row>
    <row r="174" customFormat="false" ht="7.45" hidden="false" customHeight="true" outlineLevel="0" collapsed="false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57"/>
      <c r="Q174" s="57"/>
      <c r="R174" s="57"/>
      <c r="S174" s="57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</row>
    <row r="175" customFormat="false" ht="12.8" hidden="false" customHeight="false" outlineLevel="0" collapsed="false">
      <c r="A175" s="103"/>
      <c r="B175" s="0" t="s">
        <v>392</v>
      </c>
      <c r="C175" s="103"/>
      <c r="D175" s="57" t="s">
        <v>747</v>
      </c>
      <c r="E175" s="57"/>
      <c r="F175" s="57"/>
      <c r="G175" s="57"/>
      <c r="H175" s="57" t="s">
        <v>675</v>
      </c>
      <c r="I175" s="57"/>
      <c r="J175" s="57"/>
      <c r="K175" s="109" t="s">
        <v>750</v>
      </c>
      <c r="L175" s="80" t="s">
        <v>686</v>
      </c>
      <c r="M175" s="57" t="s">
        <v>707</v>
      </c>
      <c r="N175" s="57" t="s">
        <v>832</v>
      </c>
      <c r="O175" s="57"/>
      <c r="P175" s="57"/>
      <c r="Q175" s="57"/>
      <c r="R175" s="57"/>
      <c r="S175" s="57"/>
      <c r="T175" s="103"/>
      <c r="U175" s="211" t="s">
        <v>822</v>
      </c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11"/>
      <c r="AK175" s="103"/>
    </row>
    <row r="176" customFormat="false" ht="12.8" hidden="false" customHeight="false" outlineLevel="0" collapsed="false">
      <c r="A176" s="103"/>
      <c r="C176" s="103"/>
      <c r="D176" s="182"/>
      <c r="E176" s="183"/>
      <c r="F176" s="183"/>
      <c r="G176" s="184"/>
      <c r="H176" s="57" t="s">
        <v>679</v>
      </c>
      <c r="I176" s="57"/>
      <c r="J176" s="57"/>
      <c r="K176" s="57" t="n">
        <v>1</v>
      </c>
      <c r="L176" s="93"/>
      <c r="M176" s="110" t="s">
        <v>833</v>
      </c>
      <c r="N176" s="57"/>
      <c r="O176" s="57"/>
      <c r="P176" s="57"/>
      <c r="Q176" s="57"/>
      <c r="R176" s="57"/>
      <c r="S176" s="57"/>
      <c r="T176" s="103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11"/>
      <c r="AK176" s="103"/>
    </row>
    <row r="177" customFormat="false" ht="12.8" hidden="false" customHeight="false" outlineLevel="0" collapsed="false">
      <c r="A177" s="103"/>
      <c r="C177" s="103"/>
      <c r="D177" s="189"/>
      <c r="E177" s="190"/>
      <c r="F177" s="190"/>
      <c r="G177" s="191"/>
      <c r="H177" s="57"/>
      <c r="I177" s="57"/>
      <c r="J177" s="57"/>
      <c r="K177" s="57"/>
      <c r="L177" s="94"/>
      <c r="M177" s="110"/>
      <c r="N177" s="57"/>
      <c r="O177" s="57"/>
      <c r="P177" s="57"/>
      <c r="Q177" s="57"/>
      <c r="R177" s="57"/>
      <c r="S177" s="57"/>
      <c r="T177" s="103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11"/>
      <c r="AK177" s="103"/>
    </row>
    <row r="178" customFormat="false" ht="7.45" hidden="false" customHeight="true" outlineLevel="0" collapsed="false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57"/>
      <c r="Q178" s="57"/>
      <c r="R178" s="57"/>
      <c r="S178" s="57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</row>
    <row r="179" customFormat="false" ht="12.8" hidden="false" customHeight="false" outlineLevel="0" collapsed="false">
      <c r="A179" s="103"/>
      <c r="B179" s="0" t="s">
        <v>396</v>
      </c>
      <c r="C179" s="103"/>
      <c r="D179" s="150" t="s">
        <v>673</v>
      </c>
      <c r="E179" s="109" t="s">
        <v>660</v>
      </c>
      <c r="F179" s="109"/>
      <c r="G179" s="109"/>
      <c r="H179" s="109" t="s">
        <v>661</v>
      </c>
      <c r="I179" s="109"/>
      <c r="J179" s="109"/>
      <c r="K179" s="109"/>
      <c r="L179" s="109"/>
      <c r="M179" s="109"/>
      <c r="N179" s="109" t="s">
        <v>750</v>
      </c>
      <c r="O179" s="109"/>
      <c r="P179" s="57"/>
      <c r="Q179" s="57"/>
      <c r="R179" s="57"/>
      <c r="S179" s="57"/>
      <c r="T179" s="103"/>
      <c r="U179" s="109" t="s">
        <v>661</v>
      </c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3"/>
    </row>
    <row r="180" customFormat="false" ht="12.8" hidden="false" customHeight="true" outlineLevel="0" collapsed="false">
      <c r="A180" s="103"/>
      <c r="B180" s="0" t="s">
        <v>402</v>
      </c>
      <c r="C180" s="103"/>
      <c r="D180" s="151" t="n">
        <v>0</v>
      </c>
      <c r="E180" s="210" t="s">
        <v>607</v>
      </c>
      <c r="F180" s="57" t="s">
        <v>607</v>
      </c>
      <c r="G180" s="57"/>
      <c r="H180" s="154" t="s">
        <v>664</v>
      </c>
      <c r="I180" s="154"/>
      <c r="J180" s="152" t="s">
        <v>665</v>
      </c>
      <c r="K180" s="152"/>
      <c r="L180" s="152"/>
      <c r="M180" s="152"/>
      <c r="N180" s="125" t="s">
        <v>834</v>
      </c>
      <c r="O180" s="125"/>
      <c r="P180" s="57"/>
      <c r="Q180" s="57"/>
      <c r="R180" s="57"/>
      <c r="S180" s="57"/>
      <c r="T180" s="103"/>
      <c r="U180" s="153" t="s">
        <v>666</v>
      </c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03"/>
    </row>
    <row r="181" customFormat="false" ht="12.8" hidden="false" customHeight="false" outlineLevel="0" collapsed="false">
      <c r="A181" s="103"/>
      <c r="C181" s="103"/>
      <c r="D181" s="151"/>
      <c r="E181" s="219" t="n">
        <v>0</v>
      </c>
      <c r="F181" s="57" t="s">
        <v>835</v>
      </c>
      <c r="G181" s="57"/>
      <c r="H181" s="154" t="s">
        <v>711</v>
      </c>
      <c r="I181" s="154"/>
      <c r="J181" s="154" t="s">
        <v>670</v>
      </c>
      <c r="K181" s="154"/>
      <c r="L181" s="154"/>
      <c r="M181" s="154"/>
      <c r="N181" s="125"/>
      <c r="O181" s="125"/>
      <c r="P181" s="57"/>
      <c r="Q181" s="57"/>
      <c r="R181" s="57"/>
      <c r="S181" s="57"/>
      <c r="T181" s="10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03"/>
    </row>
    <row r="182" customFormat="false" ht="12.8" hidden="false" customHeight="false" outlineLevel="0" collapsed="false">
      <c r="A182" s="103"/>
      <c r="C182" s="103"/>
      <c r="D182" s="151"/>
      <c r="E182" s="219"/>
      <c r="F182" s="57"/>
      <c r="G182" s="57"/>
      <c r="H182" s="154"/>
      <c r="I182" s="154"/>
      <c r="J182" s="154"/>
      <c r="K182" s="154"/>
      <c r="L182" s="154"/>
      <c r="M182" s="154"/>
      <c r="N182" s="125"/>
      <c r="O182" s="125"/>
      <c r="P182" s="57"/>
      <c r="Q182" s="57"/>
      <c r="R182" s="57"/>
      <c r="S182" s="57"/>
      <c r="T182" s="10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03"/>
    </row>
    <row r="183" customFormat="false" ht="12.8" hidden="false" customHeight="false" outlineLevel="0" collapsed="false">
      <c r="A183" s="103"/>
      <c r="C183" s="103"/>
      <c r="D183" s="150" t="s">
        <v>673</v>
      </c>
      <c r="E183" s="109" t="s">
        <v>661</v>
      </c>
      <c r="F183" s="109"/>
      <c r="G183" s="109"/>
      <c r="H183" s="109" t="s">
        <v>660</v>
      </c>
      <c r="I183" s="109"/>
      <c r="J183" s="109"/>
      <c r="K183" s="109"/>
      <c r="L183" s="109"/>
      <c r="M183" s="109"/>
      <c r="N183" s="125"/>
      <c r="O183" s="125"/>
      <c r="P183" s="57"/>
      <c r="Q183" s="57"/>
      <c r="R183" s="57"/>
      <c r="S183" s="57"/>
      <c r="T183" s="103"/>
      <c r="U183" s="109" t="s">
        <v>660</v>
      </c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3"/>
    </row>
    <row r="184" customFormat="false" ht="12.8" hidden="false" customHeight="true" outlineLevel="0" collapsed="false">
      <c r="A184" s="103"/>
      <c r="C184" s="103"/>
      <c r="D184" s="155" t="n">
        <v>1</v>
      </c>
      <c r="E184" s="154" t="s">
        <v>607</v>
      </c>
      <c r="F184" s="154" t="s">
        <v>607</v>
      </c>
      <c r="G184" s="154"/>
      <c r="H184" s="57" t="s">
        <v>664</v>
      </c>
      <c r="I184" s="57"/>
      <c r="J184" s="142" t="s">
        <v>665</v>
      </c>
      <c r="K184" s="142"/>
      <c r="L184" s="142"/>
      <c r="M184" s="142"/>
      <c r="N184" s="125"/>
      <c r="O184" s="125"/>
      <c r="P184" s="57"/>
      <c r="Q184" s="57"/>
      <c r="R184" s="57"/>
      <c r="S184" s="57"/>
      <c r="T184" s="103"/>
      <c r="U184" s="125" t="s">
        <v>666</v>
      </c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03"/>
    </row>
    <row r="185" customFormat="false" ht="12.8" hidden="false" customHeight="false" outlineLevel="0" collapsed="false">
      <c r="A185" s="103"/>
      <c r="C185" s="103"/>
      <c r="D185" s="155"/>
      <c r="E185" s="155" t="n">
        <v>0</v>
      </c>
      <c r="F185" s="177" t="s">
        <v>835</v>
      </c>
      <c r="G185" s="177"/>
      <c r="H185" s="57" t="s">
        <v>711</v>
      </c>
      <c r="I185" s="57"/>
      <c r="J185" s="57" t="s">
        <v>670</v>
      </c>
      <c r="K185" s="57"/>
      <c r="L185" s="57"/>
      <c r="M185" s="57"/>
      <c r="N185" s="125"/>
      <c r="O185" s="125"/>
      <c r="P185" s="57"/>
      <c r="Q185" s="57"/>
      <c r="R185" s="57"/>
      <c r="S185" s="57"/>
      <c r="T185" s="103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03"/>
    </row>
    <row r="186" customFormat="false" ht="12.8" hidden="false" customHeight="false" outlineLevel="0" collapsed="false">
      <c r="A186" s="103"/>
      <c r="C186" s="103"/>
      <c r="D186" s="155"/>
      <c r="E186" s="155"/>
      <c r="F186" s="177"/>
      <c r="G186" s="177"/>
      <c r="H186" s="57"/>
      <c r="I186" s="57"/>
      <c r="J186" s="57"/>
      <c r="K186" s="57"/>
      <c r="L186" s="57"/>
      <c r="M186" s="57"/>
      <c r="N186" s="125"/>
      <c r="O186" s="125"/>
      <c r="P186" s="57"/>
      <c r="Q186" s="57"/>
      <c r="R186" s="57"/>
      <c r="S186" s="57"/>
      <c r="T186" s="103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03"/>
    </row>
    <row r="187" customFormat="false" ht="12.8" hidden="false" customHeight="false" outlineLevel="0" collapsed="false">
      <c r="A187" s="103"/>
      <c r="C187" s="103"/>
      <c r="D187" s="154" t="s">
        <v>675</v>
      </c>
      <c r="E187" s="154" t="s">
        <v>676</v>
      </c>
      <c r="F187" s="154" t="s">
        <v>675</v>
      </c>
      <c r="G187" s="154"/>
      <c r="H187" s="57"/>
      <c r="I187" s="57"/>
      <c r="J187" s="57"/>
      <c r="K187" s="57"/>
      <c r="L187" s="57"/>
      <c r="M187" s="57"/>
      <c r="N187" s="125"/>
      <c r="O187" s="125"/>
      <c r="P187" s="57"/>
      <c r="Q187" s="57"/>
      <c r="R187" s="57"/>
      <c r="S187" s="57"/>
      <c r="T187" s="103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03"/>
    </row>
    <row r="188" customFormat="false" ht="12.8" hidden="false" customHeight="true" outlineLevel="0" collapsed="false">
      <c r="A188" s="103"/>
      <c r="C188" s="103"/>
      <c r="D188" s="158" t="n">
        <v>0</v>
      </c>
      <c r="E188" s="153" t="s">
        <v>677</v>
      </c>
      <c r="F188" s="220" t="s">
        <v>836</v>
      </c>
      <c r="G188" s="220"/>
      <c r="H188" s="57"/>
      <c r="I188" s="57"/>
      <c r="J188" s="57"/>
      <c r="K188" s="57"/>
      <c r="L188" s="57"/>
      <c r="M188" s="57"/>
      <c r="N188" s="125"/>
      <c r="O188" s="125"/>
      <c r="P188" s="57"/>
      <c r="Q188" s="57"/>
      <c r="R188" s="57"/>
      <c r="S188" s="57"/>
      <c r="T188" s="103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03"/>
    </row>
    <row r="189" customFormat="false" ht="12.8" hidden="false" customHeight="false" outlineLevel="0" collapsed="false">
      <c r="A189" s="103"/>
      <c r="C189" s="103"/>
      <c r="D189" s="160" t="n">
        <v>1</v>
      </c>
      <c r="E189" s="153"/>
      <c r="F189" s="178" t="s">
        <v>837</v>
      </c>
      <c r="G189" s="178"/>
      <c r="H189" s="57"/>
      <c r="I189" s="57"/>
      <c r="J189" s="57"/>
      <c r="K189" s="57"/>
      <c r="L189" s="57"/>
      <c r="M189" s="57"/>
      <c r="N189" s="125"/>
      <c r="O189" s="125"/>
      <c r="P189" s="57"/>
      <c r="Q189" s="57"/>
      <c r="R189" s="57"/>
      <c r="S189" s="57"/>
      <c r="T189" s="103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03"/>
    </row>
    <row r="190" customFormat="false" ht="12.8" hidden="false" customHeight="false" outlineLevel="0" collapsed="false">
      <c r="A190" s="103"/>
      <c r="C190" s="103"/>
      <c r="D190" s="150" t="s">
        <v>673</v>
      </c>
      <c r="E190" s="109" t="s">
        <v>660</v>
      </c>
      <c r="F190" s="109"/>
      <c r="G190" s="109" t="s">
        <v>661</v>
      </c>
      <c r="H190" s="109"/>
      <c r="I190" s="109"/>
      <c r="J190" s="109"/>
      <c r="K190" s="109"/>
      <c r="L190" s="109"/>
      <c r="M190" s="109"/>
      <c r="N190" s="125"/>
      <c r="O190" s="125"/>
      <c r="P190" s="57"/>
      <c r="Q190" s="57"/>
      <c r="R190" s="57"/>
      <c r="S190" s="57"/>
      <c r="T190" s="103"/>
      <c r="U190" s="109" t="s">
        <v>661</v>
      </c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3"/>
    </row>
    <row r="191" customFormat="false" ht="12.8" hidden="false" customHeight="false" outlineLevel="0" collapsed="false">
      <c r="A191" s="103"/>
      <c r="C191" s="103"/>
      <c r="D191" s="151" t="n">
        <v>0</v>
      </c>
      <c r="E191" s="57" t="s">
        <v>607</v>
      </c>
      <c r="F191" s="57"/>
      <c r="G191" s="174" t="s">
        <v>712</v>
      </c>
      <c r="H191" s="152" t="s">
        <v>681</v>
      </c>
      <c r="I191" s="152"/>
      <c r="J191" s="152" t="s">
        <v>665</v>
      </c>
      <c r="K191" s="152"/>
      <c r="L191" s="152"/>
      <c r="M191" s="152"/>
      <c r="N191" s="125"/>
      <c r="O191" s="125"/>
      <c r="P191" s="57"/>
      <c r="Q191" s="57"/>
      <c r="R191" s="57"/>
      <c r="S191" s="57"/>
      <c r="T191" s="103"/>
      <c r="U191" s="161" t="s">
        <v>682</v>
      </c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03"/>
    </row>
    <row r="192" customFormat="false" ht="12.8" hidden="false" customHeight="false" outlineLevel="0" collapsed="false">
      <c r="A192" s="103"/>
      <c r="C192" s="103"/>
      <c r="D192" s="151"/>
      <c r="E192" s="57" t="s">
        <v>838</v>
      </c>
      <c r="F192" s="57"/>
      <c r="G192" s="154" t="s">
        <v>713</v>
      </c>
      <c r="H192" s="154" t="s">
        <v>684</v>
      </c>
      <c r="I192" s="154"/>
      <c r="J192" s="154" t="s">
        <v>685</v>
      </c>
      <c r="K192" s="154"/>
      <c r="L192" s="154"/>
      <c r="M192" s="154"/>
      <c r="N192" s="125"/>
      <c r="O192" s="125"/>
      <c r="P192" s="57"/>
      <c r="Q192" s="57"/>
      <c r="R192" s="57"/>
      <c r="S192" s="57"/>
      <c r="T192" s="103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03"/>
    </row>
    <row r="193" customFormat="false" ht="12.8" hidden="false" customHeight="false" outlineLevel="0" collapsed="false">
      <c r="A193" s="103"/>
      <c r="C193" s="103"/>
      <c r="D193" s="151"/>
      <c r="E193" s="57"/>
      <c r="F193" s="57"/>
      <c r="G193" s="154"/>
      <c r="H193" s="154"/>
      <c r="I193" s="154"/>
      <c r="J193" s="154"/>
      <c r="K193" s="154"/>
      <c r="L193" s="154"/>
      <c r="M193" s="154"/>
      <c r="N193" s="125"/>
      <c r="O193" s="125"/>
      <c r="P193" s="57"/>
      <c r="Q193" s="57"/>
      <c r="R193" s="57"/>
      <c r="S193" s="57"/>
      <c r="T193" s="103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03"/>
    </row>
    <row r="194" customFormat="false" ht="12.8" hidden="false" customHeight="false" outlineLevel="0" collapsed="false">
      <c r="A194" s="103"/>
      <c r="C194" s="103"/>
      <c r="D194" s="150" t="s">
        <v>673</v>
      </c>
      <c r="E194" s="109" t="s">
        <v>661</v>
      </c>
      <c r="F194" s="109"/>
      <c r="G194" s="109" t="s">
        <v>660</v>
      </c>
      <c r="H194" s="109"/>
      <c r="I194" s="109"/>
      <c r="J194" s="109"/>
      <c r="K194" s="109"/>
      <c r="L194" s="109"/>
      <c r="M194" s="109"/>
      <c r="N194" s="125"/>
      <c r="O194" s="125"/>
      <c r="P194" s="57"/>
      <c r="Q194" s="57"/>
      <c r="R194" s="57"/>
      <c r="S194" s="57"/>
      <c r="T194" s="103"/>
      <c r="U194" s="109" t="s">
        <v>660</v>
      </c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3"/>
    </row>
    <row r="195" customFormat="false" ht="12.8" hidden="false" customHeight="false" outlineLevel="0" collapsed="false">
      <c r="A195" s="103"/>
      <c r="C195" s="103"/>
      <c r="D195" s="151" t="n">
        <v>1</v>
      </c>
      <c r="E195" s="57" t="s">
        <v>607</v>
      </c>
      <c r="F195" s="57"/>
      <c r="G195" s="174" t="s">
        <v>712</v>
      </c>
      <c r="H195" s="152" t="s">
        <v>681</v>
      </c>
      <c r="I195" s="152"/>
      <c r="J195" s="152" t="s">
        <v>665</v>
      </c>
      <c r="K195" s="152"/>
      <c r="L195" s="152"/>
      <c r="M195" s="152"/>
      <c r="N195" s="125"/>
      <c r="O195" s="125"/>
      <c r="P195" s="57"/>
      <c r="Q195" s="57"/>
      <c r="R195" s="57"/>
      <c r="S195" s="57"/>
      <c r="T195" s="103"/>
      <c r="U195" s="161" t="s">
        <v>682</v>
      </c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03"/>
    </row>
    <row r="196" customFormat="false" ht="12.8" hidden="false" customHeight="false" outlineLevel="0" collapsed="false">
      <c r="A196" s="103"/>
      <c r="C196" s="103"/>
      <c r="D196" s="151"/>
      <c r="E196" s="57" t="s">
        <v>838</v>
      </c>
      <c r="F196" s="57"/>
      <c r="G196" s="154" t="s">
        <v>713</v>
      </c>
      <c r="H196" s="154" t="s">
        <v>684</v>
      </c>
      <c r="I196" s="154"/>
      <c r="J196" s="154" t="s">
        <v>685</v>
      </c>
      <c r="K196" s="154"/>
      <c r="L196" s="154"/>
      <c r="M196" s="154"/>
      <c r="N196" s="125"/>
      <c r="O196" s="125"/>
      <c r="P196" s="57"/>
      <c r="Q196" s="57"/>
      <c r="R196" s="57"/>
      <c r="S196" s="57"/>
      <c r="T196" s="103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03"/>
    </row>
    <row r="197" customFormat="false" ht="12.8" hidden="false" customHeight="false" outlineLevel="0" collapsed="false">
      <c r="A197" s="103"/>
      <c r="C197" s="103"/>
      <c r="D197" s="151"/>
      <c r="E197" s="57"/>
      <c r="F197" s="57"/>
      <c r="G197" s="154"/>
      <c r="H197" s="154"/>
      <c r="I197" s="154"/>
      <c r="J197" s="154"/>
      <c r="K197" s="154"/>
      <c r="L197" s="154"/>
      <c r="M197" s="154"/>
      <c r="N197" s="125"/>
      <c r="O197" s="125"/>
      <c r="P197" s="57"/>
      <c r="Q197" s="57"/>
      <c r="R197" s="57"/>
      <c r="S197" s="57"/>
      <c r="T197" s="103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03"/>
    </row>
    <row r="198" customFormat="false" ht="12.8" hidden="false" customHeight="false" outlineLevel="0" collapsed="false">
      <c r="A198" s="103"/>
      <c r="C198" s="103"/>
      <c r="D198" s="150" t="s">
        <v>660</v>
      </c>
      <c r="E198" s="150"/>
      <c r="F198" s="150"/>
      <c r="G198" s="109" t="s">
        <v>661</v>
      </c>
      <c r="H198" s="109"/>
      <c r="I198" s="109"/>
      <c r="J198" s="109"/>
      <c r="K198" s="109"/>
      <c r="L198" s="109"/>
      <c r="M198" s="109"/>
      <c r="N198" s="125"/>
      <c r="O198" s="125"/>
      <c r="P198" s="57"/>
      <c r="Q198" s="57"/>
      <c r="R198" s="57"/>
      <c r="S198" s="57"/>
      <c r="T198" s="103"/>
      <c r="U198" s="109" t="s">
        <v>661</v>
      </c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3"/>
    </row>
    <row r="199" customFormat="false" ht="12.8" hidden="false" customHeight="false" outlineLevel="0" collapsed="false">
      <c r="A199" s="103"/>
      <c r="C199" s="103"/>
      <c r="D199" s="57" t="s">
        <v>668</v>
      </c>
      <c r="E199" s="57"/>
      <c r="F199" s="57"/>
      <c r="G199" s="154" t="s">
        <v>607</v>
      </c>
      <c r="H199" s="154"/>
      <c r="I199" s="154"/>
      <c r="J199" s="152" t="s">
        <v>665</v>
      </c>
      <c r="K199" s="152"/>
      <c r="L199" s="152"/>
      <c r="M199" s="152"/>
      <c r="N199" s="125"/>
      <c r="O199" s="125"/>
      <c r="P199" s="57"/>
      <c r="Q199" s="57"/>
      <c r="R199" s="57"/>
      <c r="S199" s="57"/>
      <c r="T199" s="103"/>
      <c r="U199" s="161" t="s">
        <v>682</v>
      </c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03"/>
    </row>
    <row r="200" customFormat="false" ht="12.8" hidden="false" customHeight="false" outlineLevel="0" collapsed="false">
      <c r="A200" s="103"/>
      <c r="C200" s="103"/>
      <c r="D200" s="57"/>
      <c r="E200" s="57"/>
      <c r="F200" s="57"/>
      <c r="G200" s="154" t="s">
        <v>690</v>
      </c>
      <c r="H200" s="154"/>
      <c r="I200" s="154"/>
      <c r="J200" s="154" t="s">
        <v>691</v>
      </c>
      <c r="K200" s="154"/>
      <c r="L200" s="154"/>
      <c r="M200" s="154"/>
      <c r="N200" s="125"/>
      <c r="O200" s="125"/>
      <c r="P200" s="57"/>
      <c r="Q200" s="57"/>
      <c r="R200" s="57"/>
      <c r="S200" s="57"/>
      <c r="T200" s="103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03"/>
    </row>
    <row r="201" customFormat="false" ht="12.8" hidden="false" customHeight="false" outlineLevel="0" collapsed="false">
      <c r="A201" s="103"/>
      <c r="C201" s="103"/>
      <c r="D201" s="57"/>
      <c r="E201" s="57"/>
      <c r="F201" s="57"/>
      <c r="G201" s="154"/>
      <c r="H201" s="154"/>
      <c r="I201" s="154"/>
      <c r="J201" s="154"/>
      <c r="K201" s="154"/>
      <c r="L201" s="154"/>
      <c r="M201" s="154"/>
      <c r="N201" s="125"/>
      <c r="O201" s="125"/>
      <c r="P201" s="57"/>
      <c r="Q201" s="57"/>
      <c r="R201" s="57"/>
      <c r="S201" s="57"/>
      <c r="T201" s="103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03"/>
    </row>
    <row r="202" customFormat="false" ht="12.8" hidden="false" customHeight="false" outlineLevel="0" collapsed="false">
      <c r="A202" s="103"/>
      <c r="C202" s="103"/>
      <c r="D202" s="57"/>
      <c r="E202" s="57"/>
      <c r="F202" s="57"/>
      <c r="G202" s="57" t="s">
        <v>808</v>
      </c>
      <c r="H202" s="57"/>
      <c r="I202" s="154" t="s">
        <v>694</v>
      </c>
      <c r="J202" s="152" t="s">
        <v>665</v>
      </c>
      <c r="K202" s="152"/>
      <c r="L202" s="152"/>
      <c r="M202" s="152"/>
      <c r="N202" s="125"/>
      <c r="O202" s="125"/>
      <c r="P202" s="57"/>
      <c r="Q202" s="57"/>
      <c r="R202" s="57"/>
      <c r="S202" s="57"/>
      <c r="T202" s="103"/>
      <c r="U202" s="154" t="s">
        <v>695</v>
      </c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03"/>
    </row>
    <row r="203" customFormat="false" ht="12.8" hidden="false" customHeight="true" outlineLevel="0" collapsed="false">
      <c r="A203" s="103"/>
      <c r="C203" s="103"/>
      <c r="D203" s="57"/>
      <c r="E203" s="57"/>
      <c r="F203" s="57"/>
      <c r="I203" s="153" t="s">
        <v>839</v>
      </c>
      <c r="J203" s="154" t="s">
        <v>697</v>
      </c>
      <c r="K203" s="154"/>
      <c r="L203" s="154"/>
      <c r="M203" s="154"/>
      <c r="N203" s="125"/>
      <c r="O203" s="125"/>
      <c r="P203" s="57"/>
      <c r="Q203" s="57"/>
      <c r="R203" s="57"/>
      <c r="S203" s="57"/>
      <c r="T203" s="103"/>
      <c r="U203" s="161" t="s">
        <v>698</v>
      </c>
      <c r="V203" s="161"/>
      <c r="W203" s="161"/>
      <c r="X203" s="161"/>
      <c r="Y203" s="161"/>
      <c r="Z203" s="161"/>
      <c r="AA203" s="161"/>
      <c r="AB203" s="161"/>
      <c r="AC203" s="154" t="s">
        <v>699</v>
      </c>
      <c r="AD203" s="154"/>
      <c r="AE203" s="154"/>
      <c r="AF203" s="154"/>
      <c r="AG203" s="154"/>
      <c r="AH203" s="154"/>
      <c r="AI203" s="154"/>
      <c r="AJ203" s="154"/>
      <c r="AK203" s="103"/>
    </row>
    <row r="204" customFormat="false" ht="12.8" hidden="false" customHeight="false" outlineLevel="0" collapsed="false">
      <c r="A204" s="103"/>
      <c r="C204" s="103"/>
      <c r="D204" s="57"/>
      <c r="E204" s="57"/>
      <c r="F204" s="57"/>
      <c r="I204" s="153"/>
      <c r="J204" s="154"/>
      <c r="K204" s="154"/>
      <c r="L204" s="154"/>
      <c r="M204" s="154"/>
      <c r="N204" s="125"/>
      <c r="O204" s="125"/>
      <c r="P204" s="57"/>
      <c r="Q204" s="57"/>
      <c r="R204" s="57"/>
      <c r="S204" s="57"/>
      <c r="T204" s="103"/>
      <c r="U204" s="154" t="s">
        <v>840</v>
      </c>
      <c r="V204" s="154"/>
      <c r="W204" s="154"/>
      <c r="X204" s="154"/>
      <c r="Y204" s="154"/>
      <c r="Z204" s="154"/>
      <c r="AA204" s="154"/>
      <c r="AB204" s="154"/>
      <c r="AC204" s="154" t="s">
        <v>841</v>
      </c>
      <c r="AD204" s="154"/>
      <c r="AE204" s="154"/>
      <c r="AF204" s="154"/>
      <c r="AG204" s="154"/>
      <c r="AH204" s="154"/>
      <c r="AI204" s="154"/>
      <c r="AJ204" s="154"/>
      <c r="AK204" s="103"/>
    </row>
    <row r="205" customFormat="false" ht="12.8" hidden="false" customHeight="false" outlineLevel="0" collapsed="false">
      <c r="A205" s="103"/>
      <c r="C205" s="103"/>
      <c r="D205" s="57"/>
      <c r="E205" s="57"/>
      <c r="F205" s="57"/>
      <c r="I205" s="153"/>
      <c r="J205" s="154"/>
      <c r="K205" s="154"/>
      <c r="L205" s="154"/>
      <c r="M205" s="154"/>
      <c r="N205" s="125"/>
      <c r="O205" s="125"/>
      <c r="P205" s="57"/>
      <c r="Q205" s="57"/>
      <c r="R205" s="57"/>
      <c r="S205" s="57"/>
      <c r="T205" s="103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03"/>
    </row>
    <row r="206" customFormat="false" ht="12.8" hidden="false" customHeight="false" outlineLevel="0" collapsed="false">
      <c r="A206" s="103"/>
      <c r="C206" s="103"/>
      <c r="D206" s="57"/>
      <c r="E206" s="57"/>
      <c r="F206" s="57"/>
      <c r="G206" s="154" t="s">
        <v>675</v>
      </c>
      <c r="H206" s="154"/>
      <c r="I206" s="154"/>
      <c r="J206" s="152" t="s">
        <v>665</v>
      </c>
      <c r="K206" s="152"/>
      <c r="L206" s="152"/>
      <c r="M206" s="152"/>
      <c r="N206" s="125"/>
      <c r="O206" s="125"/>
      <c r="P206" s="57"/>
      <c r="Q206" s="57"/>
      <c r="R206" s="57"/>
      <c r="S206" s="57"/>
      <c r="T206" s="103"/>
      <c r="U206" s="161" t="s">
        <v>702</v>
      </c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03"/>
    </row>
    <row r="207" customFormat="false" ht="12.8" hidden="false" customHeight="false" outlineLevel="0" collapsed="false">
      <c r="A207" s="103"/>
      <c r="C207" s="103"/>
      <c r="D207" s="57"/>
      <c r="E207" s="57"/>
      <c r="F207" s="57"/>
      <c r="G207" s="165" t="n">
        <v>0</v>
      </c>
      <c r="H207" s="177" t="s">
        <v>836</v>
      </c>
      <c r="I207" s="177"/>
      <c r="J207" s="154" t="s">
        <v>704</v>
      </c>
      <c r="K207" s="154"/>
      <c r="L207" s="154"/>
      <c r="M207" s="154"/>
      <c r="N207" s="125"/>
      <c r="O207" s="125"/>
      <c r="P207" s="57"/>
      <c r="Q207" s="57"/>
      <c r="R207" s="57"/>
      <c r="S207" s="57"/>
      <c r="T207" s="103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03"/>
    </row>
    <row r="208" customFormat="false" ht="12.8" hidden="false" customHeight="false" outlineLevel="0" collapsed="false">
      <c r="A208" s="103"/>
      <c r="C208" s="103"/>
      <c r="D208" s="57"/>
      <c r="E208" s="57"/>
      <c r="F208" s="57"/>
      <c r="G208" s="167" t="n">
        <v>1</v>
      </c>
      <c r="H208" s="178" t="s">
        <v>837</v>
      </c>
      <c r="I208" s="178"/>
      <c r="J208" s="154"/>
      <c r="K208" s="154"/>
      <c r="L208" s="154"/>
      <c r="M208" s="154"/>
      <c r="N208" s="125"/>
      <c r="O208" s="125"/>
      <c r="P208" s="57"/>
      <c r="Q208" s="57"/>
      <c r="R208" s="57"/>
      <c r="S208" s="57"/>
      <c r="T208" s="103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03"/>
    </row>
    <row r="209" customFormat="false" ht="7.45" hidden="false" customHeight="true" outlineLevel="0" collapsed="false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</row>
    <row r="210" customFormat="false" ht="12.8" hidden="false" customHeight="false" outlineLevel="0" collapsed="false">
      <c r="A210" s="103"/>
      <c r="B210" s="0" t="s">
        <v>842</v>
      </c>
      <c r="C210" s="103"/>
      <c r="D210" s="150" t="s">
        <v>732</v>
      </c>
      <c r="E210" s="150"/>
      <c r="F210" s="150"/>
      <c r="G210" s="57" t="s">
        <v>843</v>
      </c>
      <c r="H210" s="57"/>
      <c r="I210" s="57"/>
      <c r="J210" s="57"/>
      <c r="K210" s="57"/>
      <c r="L210" s="57"/>
      <c r="M210" s="57"/>
      <c r="N210" s="109" t="s">
        <v>750</v>
      </c>
      <c r="O210" s="109"/>
      <c r="P210" s="57" t="s">
        <v>844</v>
      </c>
      <c r="Q210" s="57"/>
      <c r="R210" s="57"/>
      <c r="S210" s="57"/>
      <c r="T210" s="103"/>
      <c r="U210" s="161" t="s">
        <v>845</v>
      </c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03"/>
    </row>
    <row r="211" customFormat="false" ht="12.8" hidden="false" customHeight="false" outlineLevel="0" collapsed="false">
      <c r="A211" s="103"/>
      <c r="C211" s="103"/>
      <c r="D211" s="57" t="s">
        <v>668</v>
      </c>
      <c r="E211" s="57"/>
      <c r="F211" s="57"/>
      <c r="G211" s="80" t="s">
        <v>846</v>
      </c>
      <c r="H211" s="80" t="s">
        <v>847</v>
      </c>
      <c r="I211" s="80" t="s">
        <v>848</v>
      </c>
      <c r="J211" s="80" t="s">
        <v>849</v>
      </c>
      <c r="K211" s="80" t="s">
        <v>850</v>
      </c>
      <c r="L211" s="80" t="s">
        <v>851</v>
      </c>
      <c r="M211" s="80" t="s">
        <v>852</v>
      </c>
      <c r="N211" s="57" t="s">
        <v>853</v>
      </c>
      <c r="O211" s="57"/>
      <c r="P211" s="57"/>
      <c r="Q211" s="57"/>
      <c r="R211" s="57"/>
      <c r="S211" s="57"/>
      <c r="T211" s="103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03"/>
    </row>
    <row r="212" customFormat="false" ht="12.8" hidden="false" customHeight="false" outlineLevel="0" collapsed="false">
      <c r="A212" s="103"/>
      <c r="C212" s="103"/>
      <c r="D212" s="57"/>
      <c r="E212" s="57"/>
      <c r="F212" s="57"/>
      <c r="G212" s="93" t="s">
        <v>737</v>
      </c>
      <c r="H212" s="93" t="s">
        <v>737</v>
      </c>
      <c r="I212" s="93" t="s">
        <v>737</v>
      </c>
      <c r="J212" s="93" t="s">
        <v>737</v>
      </c>
      <c r="K212" s="93" t="s">
        <v>737</v>
      </c>
      <c r="L212" s="93" t="s">
        <v>737</v>
      </c>
      <c r="M212" s="93" t="s">
        <v>737</v>
      </c>
      <c r="N212" s="57"/>
      <c r="O212" s="57"/>
      <c r="P212" s="57"/>
      <c r="Q212" s="57"/>
      <c r="R212" s="57"/>
      <c r="S212" s="57"/>
      <c r="T212" s="103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03"/>
    </row>
    <row r="213" customFormat="false" ht="12.8" hidden="false" customHeight="false" outlineLevel="0" collapsed="false">
      <c r="A213" s="103"/>
      <c r="C213" s="103"/>
      <c r="D213" s="57"/>
      <c r="E213" s="57"/>
      <c r="F213" s="57"/>
      <c r="G213" s="94" t="s">
        <v>741</v>
      </c>
      <c r="H213" s="94" t="s">
        <v>741</v>
      </c>
      <c r="I213" s="94" t="s">
        <v>741</v>
      </c>
      <c r="J213" s="94" t="s">
        <v>741</v>
      </c>
      <c r="K213" s="94" t="s">
        <v>741</v>
      </c>
      <c r="L213" s="94" t="s">
        <v>741</v>
      </c>
      <c r="M213" s="94" t="s">
        <v>741</v>
      </c>
      <c r="N213" s="57"/>
      <c r="O213" s="57"/>
      <c r="P213" s="57"/>
      <c r="Q213" s="57"/>
      <c r="R213" s="57"/>
      <c r="S213" s="57"/>
      <c r="T213" s="103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03"/>
    </row>
    <row r="214" customFormat="false" ht="12.8" hidden="false" customHeight="false" outlineLevel="0" collapsed="false">
      <c r="A214" s="103"/>
      <c r="C214" s="103"/>
      <c r="D214" s="57"/>
      <c r="E214" s="57"/>
      <c r="F214" s="57"/>
      <c r="G214" s="150" t="s">
        <v>733</v>
      </c>
      <c r="H214" s="150"/>
      <c r="I214" s="150"/>
      <c r="J214" s="150"/>
      <c r="K214" s="150"/>
      <c r="L214" s="150"/>
      <c r="M214" s="150"/>
      <c r="N214" s="57" t="s">
        <v>854</v>
      </c>
      <c r="O214" s="57"/>
      <c r="P214" s="57"/>
      <c r="Q214" s="57"/>
      <c r="R214" s="57"/>
      <c r="S214" s="57"/>
      <c r="T214" s="103"/>
      <c r="U214" s="109" t="s">
        <v>733</v>
      </c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3"/>
    </row>
    <row r="215" customFormat="false" ht="12.8" hidden="false" customHeight="true" outlineLevel="0" collapsed="false">
      <c r="A215" s="103"/>
      <c r="C215" s="103"/>
      <c r="D215" s="57"/>
      <c r="E215" s="57"/>
      <c r="F215" s="57"/>
      <c r="G215" s="142" t="s">
        <v>664</v>
      </c>
      <c r="H215" s="142"/>
      <c r="I215" s="142"/>
      <c r="J215" s="142" t="s">
        <v>665</v>
      </c>
      <c r="K215" s="142"/>
      <c r="L215" s="142"/>
      <c r="M215" s="142"/>
      <c r="N215" s="57"/>
      <c r="O215" s="57"/>
      <c r="P215" s="57"/>
      <c r="Q215" s="57"/>
      <c r="R215" s="57"/>
      <c r="S215" s="57"/>
      <c r="T215" s="103"/>
      <c r="U215" s="125" t="s">
        <v>666</v>
      </c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03"/>
    </row>
    <row r="216" customFormat="false" ht="12.8" hidden="false" customHeight="false" outlineLevel="0" collapsed="false">
      <c r="A216" s="103"/>
      <c r="C216" s="103"/>
      <c r="D216" s="57"/>
      <c r="E216" s="57"/>
      <c r="F216" s="57"/>
      <c r="G216" s="57" t="s">
        <v>674</v>
      </c>
      <c r="H216" s="57"/>
      <c r="I216" s="57"/>
      <c r="J216" s="57" t="s">
        <v>670</v>
      </c>
      <c r="K216" s="57"/>
      <c r="L216" s="57"/>
      <c r="M216" s="57"/>
      <c r="N216" s="57"/>
      <c r="O216" s="57"/>
      <c r="P216" s="57"/>
      <c r="Q216" s="57"/>
      <c r="R216" s="57"/>
      <c r="S216" s="57"/>
      <c r="T216" s="103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03"/>
    </row>
    <row r="217" customFormat="false" ht="12.8" hidden="false" customHeight="false" outlineLevel="0" collapsed="false">
      <c r="A217" s="103"/>
      <c r="C217" s="103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103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03"/>
    </row>
    <row r="218" customFormat="false" ht="12.8" hidden="false" customHeight="false" outlineLevel="0" collapsed="false">
      <c r="A218" s="103"/>
      <c r="C218" s="103"/>
      <c r="D218" s="57"/>
      <c r="E218" s="57"/>
      <c r="F218" s="57"/>
      <c r="G218" s="57" t="s">
        <v>694</v>
      </c>
      <c r="H218" s="57"/>
      <c r="I218" s="57"/>
      <c r="J218" s="142" t="s">
        <v>665</v>
      </c>
      <c r="K218" s="142"/>
      <c r="L218" s="142"/>
      <c r="M218" s="142"/>
      <c r="N218" s="57"/>
      <c r="O218" s="57"/>
      <c r="P218" s="57"/>
      <c r="Q218" s="57"/>
      <c r="R218" s="57"/>
      <c r="S218" s="57"/>
      <c r="T218" s="103"/>
      <c r="U218" s="57" t="s">
        <v>695</v>
      </c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103"/>
    </row>
    <row r="219" customFormat="false" ht="12.8" hidden="false" customHeight="true" outlineLevel="0" collapsed="false">
      <c r="A219" s="103"/>
      <c r="C219" s="103"/>
      <c r="D219" s="57"/>
      <c r="E219" s="57"/>
      <c r="F219" s="57"/>
      <c r="G219" s="153" t="s">
        <v>855</v>
      </c>
      <c r="H219" s="153"/>
      <c r="I219" s="153"/>
      <c r="J219" s="57" t="s">
        <v>697</v>
      </c>
      <c r="K219" s="57"/>
      <c r="L219" s="57"/>
      <c r="M219" s="57"/>
      <c r="N219" s="57"/>
      <c r="O219" s="57"/>
      <c r="P219" s="57"/>
      <c r="Q219" s="57"/>
      <c r="R219" s="57"/>
      <c r="S219" s="57"/>
      <c r="T219" s="103"/>
      <c r="U219" s="161" t="s">
        <v>698</v>
      </c>
      <c r="V219" s="161"/>
      <c r="W219" s="161"/>
      <c r="X219" s="161"/>
      <c r="Y219" s="161"/>
      <c r="Z219" s="161"/>
      <c r="AA219" s="161"/>
      <c r="AB219" s="161"/>
      <c r="AC219" s="57" t="s">
        <v>699</v>
      </c>
      <c r="AD219" s="57"/>
      <c r="AE219" s="57"/>
      <c r="AF219" s="57"/>
      <c r="AG219" s="57"/>
      <c r="AH219" s="57"/>
      <c r="AI219" s="57"/>
      <c r="AJ219" s="57"/>
      <c r="AK219" s="103"/>
    </row>
    <row r="220" customFormat="false" ht="12.8" hidden="false" customHeight="false" outlineLevel="0" collapsed="false">
      <c r="A220" s="103"/>
      <c r="C220" s="103"/>
      <c r="D220" s="57"/>
      <c r="E220" s="57"/>
      <c r="F220" s="57"/>
      <c r="G220" s="153"/>
      <c r="H220" s="153"/>
      <c r="I220" s="153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103"/>
      <c r="U220" s="57" t="s">
        <v>700</v>
      </c>
      <c r="V220" s="57"/>
      <c r="W220" s="57"/>
      <c r="X220" s="57"/>
      <c r="Y220" s="57"/>
      <c r="Z220" s="57"/>
      <c r="AA220" s="57"/>
      <c r="AB220" s="57"/>
      <c r="AC220" s="57" t="s">
        <v>701</v>
      </c>
      <c r="AD220" s="57"/>
      <c r="AE220" s="57"/>
      <c r="AF220" s="57"/>
      <c r="AG220" s="57"/>
      <c r="AH220" s="57"/>
      <c r="AI220" s="57"/>
      <c r="AJ220" s="57"/>
      <c r="AK220" s="103"/>
    </row>
    <row r="221" customFormat="false" ht="12.8" hidden="false" customHeight="false" outlineLevel="0" collapsed="false">
      <c r="A221" s="103"/>
      <c r="C221" s="103"/>
      <c r="D221" s="57"/>
      <c r="E221" s="57"/>
      <c r="F221" s="57"/>
      <c r="G221" s="153"/>
      <c r="H221" s="153"/>
      <c r="I221" s="153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103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103"/>
    </row>
    <row r="222" customFormat="false" ht="7.45" hidden="false" customHeight="true" outlineLevel="0" collapsed="false">
      <c r="A222" s="103"/>
      <c r="B222" s="103"/>
      <c r="C222" s="103"/>
      <c r="D222" s="146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57"/>
      <c r="Q222" s="57"/>
      <c r="R222" s="57"/>
      <c r="S222" s="57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</row>
    <row r="223" customFormat="false" ht="12.8" hidden="false" customHeight="false" outlineLevel="0" collapsed="false">
      <c r="A223" s="103"/>
      <c r="B223" s="0" t="s">
        <v>856</v>
      </c>
      <c r="C223" s="103"/>
      <c r="D223" s="150" t="s">
        <v>732</v>
      </c>
      <c r="E223" s="150"/>
      <c r="F223" s="150"/>
      <c r="G223" s="57" t="s">
        <v>843</v>
      </c>
      <c r="H223" s="57"/>
      <c r="I223" s="57"/>
      <c r="J223" s="57"/>
      <c r="K223" s="57"/>
      <c r="L223" s="57"/>
      <c r="M223" s="57"/>
      <c r="N223" s="57" t="s">
        <v>857</v>
      </c>
      <c r="O223" s="57"/>
      <c r="P223" s="57"/>
      <c r="Q223" s="57"/>
      <c r="R223" s="57"/>
      <c r="S223" s="57"/>
      <c r="T223" s="103"/>
      <c r="U223" s="161" t="s">
        <v>845</v>
      </c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03"/>
    </row>
    <row r="224" customFormat="false" ht="12.8" hidden="false" customHeight="false" outlineLevel="0" collapsed="false">
      <c r="A224" s="103"/>
      <c r="C224" s="103"/>
      <c r="D224" s="57" t="s">
        <v>668</v>
      </c>
      <c r="E224" s="57"/>
      <c r="F224" s="57"/>
      <c r="G224" s="80" t="s">
        <v>1300</v>
      </c>
      <c r="H224" s="80" t="s">
        <v>1301</v>
      </c>
      <c r="I224" s="80" t="s">
        <v>848</v>
      </c>
      <c r="J224" s="80" t="s">
        <v>849</v>
      </c>
      <c r="K224" s="80" t="s">
        <v>850</v>
      </c>
      <c r="L224" s="80" t="s">
        <v>851</v>
      </c>
      <c r="M224" s="80" t="s">
        <v>852</v>
      </c>
      <c r="N224" s="57"/>
      <c r="O224" s="57"/>
      <c r="P224" s="57"/>
      <c r="Q224" s="57"/>
      <c r="R224" s="57"/>
      <c r="S224" s="57"/>
      <c r="T224" s="103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03"/>
    </row>
    <row r="225" customFormat="false" ht="12.8" hidden="false" customHeight="false" outlineLevel="0" collapsed="false">
      <c r="A225" s="103"/>
      <c r="C225" s="103"/>
      <c r="D225" s="57"/>
      <c r="E225" s="57"/>
      <c r="F225" s="57"/>
      <c r="G225" s="93" t="s">
        <v>737</v>
      </c>
      <c r="H225" s="93" t="s">
        <v>737</v>
      </c>
      <c r="I225" s="93" t="s">
        <v>737</v>
      </c>
      <c r="J225" s="93" t="s">
        <v>737</v>
      </c>
      <c r="K225" s="93" t="s">
        <v>737</v>
      </c>
      <c r="L225" s="93" t="s">
        <v>737</v>
      </c>
      <c r="M225" s="93" t="s">
        <v>737</v>
      </c>
      <c r="N225" s="57"/>
      <c r="O225" s="57"/>
      <c r="P225" s="57"/>
      <c r="Q225" s="57"/>
      <c r="R225" s="57"/>
      <c r="S225" s="57"/>
      <c r="T225" s="103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03"/>
    </row>
    <row r="226" customFormat="false" ht="12.8" hidden="false" customHeight="false" outlineLevel="0" collapsed="false">
      <c r="A226" s="103"/>
      <c r="C226" s="103"/>
      <c r="D226" s="57"/>
      <c r="E226" s="57"/>
      <c r="F226" s="57"/>
      <c r="G226" s="94" t="s">
        <v>754</v>
      </c>
      <c r="H226" s="94" t="s">
        <v>754</v>
      </c>
      <c r="I226" s="94" t="s">
        <v>754</v>
      </c>
      <c r="J226" s="94" t="s">
        <v>754</v>
      </c>
      <c r="K226" s="94" t="s">
        <v>754</v>
      </c>
      <c r="L226" s="94" t="s">
        <v>754</v>
      </c>
      <c r="M226" s="94" t="s">
        <v>754</v>
      </c>
      <c r="N226" s="57"/>
      <c r="O226" s="57"/>
      <c r="P226" s="57"/>
      <c r="Q226" s="57"/>
      <c r="R226" s="57"/>
      <c r="S226" s="57"/>
      <c r="T226" s="103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03"/>
    </row>
    <row r="227" customFormat="false" ht="12.8" hidden="false" customHeight="false" outlineLevel="0" collapsed="false">
      <c r="A227" s="103"/>
      <c r="C227" s="103"/>
      <c r="D227" s="57"/>
      <c r="E227" s="57"/>
      <c r="F227" s="57"/>
      <c r="G227" s="150" t="s">
        <v>733</v>
      </c>
      <c r="H227" s="150"/>
      <c r="I227" s="150"/>
      <c r="J227" s="150"/>
      <c r="K227" s="150"/>
      <c r="L227" s="150"/>
      <c r="M227" s="150"/>
      <c r="N227" s="57" t="s">
        <v>858</v>
      </c>
      <c r="O227" s="57"/>
      <c r="P227" s="57"/>
      <c r="Q227" s="57"/>
      <c r="R227" s="57"/>
      <c r="S227" s="57"/>
      <c r="T227" s="103"/>
      <c r="U227" s="109" t="s">
        <v>733</v>
      </c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3"/>
    </row>
    <row r="228" customFormat="false" ht="12.8" hidden="false" customHeight="true" outlineLevel="0" collapsed="false">
      <c r="A228" s="103"/>
      <c r="C228" s="103"/>
      <c r="D228" s="57"/>
      <c r="E228" s="57"/>
      <c r="F228" s="57"/>
      <c r="G228" s="142" t="s">
        <v>664</v>
      </c>
      <c r="H228" s="142"/>
      <c r="I228" s="142"/>
      <c r="J228" s="142" t="s">
        <v>665</v>
      </c>
      <c r="K228" s="142"/>
      <c r="L228" s="142"/>
      <c r="M228" s="142"/>
      <c r="N228" s="57"/>
      <c r="O228" s="57"/>
      <c r="P228" s="57"/>
      <c r="Q228" s="57"/>
      <c r="R228" s="57"/>
      <c r="S228" s="57"/>
      <c r="T228" s="103"/>
      <c r="U228" s="125" t="s">
        <v>666</v>
      </c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03"/>
    </row>
    <row r="229" customFormat="false" ht="12.8" hidden="false" customHeight="false" outlineLevel="0" collapsed="false">
      <c r="A229" s="103"/>
      <c r="C229" s="103"/>
      <c r="D229" s="57"/>
      <c r="E229" s="57"/>
      <c r="F229" s="57"/>
      <c r="G229" s="57" t="s">
        <v>674</v>
      </c>
      <c r="H229" s="57"/>
      <c r="I229" s="57"/>
      <c r="J229" s="57" t="s">
        <v>670</v>
      </c>
      <c r="K229" s="57"/>
      <c r="L229" s="57"/>
      <c r="M229" s="57"/>
      <c r="N229" s="57"/>
      <c r="O229" s="57"/>
      <c r="P229" s="57"/>
      <c r="Q229" s="57"/>
      <c r="R229" s="57"/>
      <c r="S229" s="57"/>
      <c r="T229" s="103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03"/>
    </row>
    <row r="230" customFormat="false" ht="12.8" hidden="false" customHeight="false" outlineLevel="0" collapsed="false">
      <c r="A230" s="103"/>
      <c r="C230" s="103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103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03"/>
    </row>
    <row r="231" customFormat="false" ht="7.45" hidden="false" customHeight="true" outlineLevel="0" collapsed="false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</row>
    <row r="232" customFormat="false" ht="12.8" hidden="false" customHeight="false" outlineLevel="0" collapsed="false">
      <c r="A232" s="103"/>
      <c r="B232" s="0" t="s">
        <v>859</v>
      </c>
      <c r="C232" s="103"/>
      <c r="D232" s="57" t="s">
        <v>860</v>
      </c>
      <c r="E232" s="57"/>
      <c r="F232" s="57"/>
      <c r="G232" s="57"/>
      <c r="H232" s="57"/>
      <c r="I232" s="57"/>
      <c r="J232" s="109" t="s">
        <v>733</v>
      </c>
      <c r="K232" s="109"/>
      <c r="L232" s="109"/>
      <c r="M232" s="109" t="s">
        <v>750</v>
      </c>
      <c r="N232" s="109"/>
      <c r="O232" s="109"/>
      <c r="P232" s="57" t="s">
        <v>861</v>
      </c>
      <c r="Q232" s="57"/>
      <c r="R232" s="57"/>
      <c r="S232" s="57"/>
      <c r="T232" s="103"/>
      <c r="U232" s="211" t="s">
        <v>698</v>
      </c>
      <c r="V232" s="211"/>
      <c r="W232" s="211"/>
      <c r="X232" s="211"/>
      <c r="Y232" s="211"/>
      <c r="Z232" s="211"/>
      <c r="AA232" s="211"/>
      <c r="AB232" s="211"/>
      <c r="AC232" s="211"/>
      <c r="AD232" s="211"/>
      <c r="AE232" s="211"/>
      <c r="AF232" s="211"/>
      <c r="AG232" s="211"/>
      <c r="AH232" s="211"/>
      <c r="AI232" s="211"/>
      <c r="AJ232" s="211"/>
      <c r="AK232" s="103"/>
    </row>
    <row r="233" customFormat="false" ht="12.8" hidden="false" customHeight="false" outlineLevel="0" collapsed="false">
      <c r="A233" s="103"/>
      <c r="C233" s="103"/>
      <c r="D233" s="57" t="s">
        <v>862</v>
      </c>
      <c r="E233" s="57"/>
      <c r="F233" s="57"/>
      <c r="G233" s="57"/>
      <c r="H233" s="57"/>
      <c r="I233" s="57"/>
      <c r="J233" s="57" t="s">
        <v>607</v>
      </c>
      <c r="K233" s="57"/>
      <c r="L233" s="80" t="s">
        <v>665</v>
      </c>
      <c r="M233" s="57" t="s">
        <v>863</v>
      </c>
      <c r="N233" s="57"/>
      <c r="O233" s="57"/>
      <c r="P233" s="57"/>
      <c r="Q233" s="57"/>
      <c r="R233" s="57"/>
      <c r="S233" s="57"/>
      <c r="T233" s="103"/>
      <c r="U233" s="211"/>
      <c r="V233" s="211"/>
      <c r="W233" s="211"/>
      <c r="X233" s="211"/>
      <c r="Y233" s="211"/>
      <c r="Z233" s="211"/>
      <c r="AA233" s="211"/>
      <c r="AB233" s="211"/>
      <c r="AC233" s="211"/>
      <c r="AD233" s="211"/>
      <c r="AE233" s="211"/>
      <c r="AF233" s="211"/>
      <c r="AG233" s="211"/>
      <c r="AH233" s="211"/>
      <c r="AI233" s="211"/>
      <c r="AJ233" s="211"/>
      <c r="AK233" s="103"/>
    </row>
    <row r="234" customFormat="false" ht="12.8" hidden="false" customHeight="false" outlineLevel="0" collapsed="false">
      <c r="A234" s="103"/>
      <c r="C234" s="103"/>
      <c r="D234" s="57"/>
      <c r="E234" s="57"/>
      <c r="F234" s="57"/>
      <c r="G234" s="57"/>
      <c r="H234" s="57"/>
      <c r="I234" s="57"/>
      <c r="J234" s="57" t="s">
        <v>864</v>
      </c>
      <c r="K234" s="57"/>
      <c r="L234" s="57" t="s">
        <v>691</v>
      </c>
      <c r="M234" s="57"/>
      <c r="N234" s="57"/>
      <c r="O234" s="57"/>
      <c r="P234" s="57"/>
      <c r="Q234" s="57"/>
      <c r="R234" s="57"/>
      <c r="S234" s="57"/>
      <c r="T234" s="103"/>
      <c r="U234" s="211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1"/>
      <c r="AF234" s="211"/>
      <c r="AG234" s="211"/>
      <c r="AH234" s="211"/>
      <c r="AI234" s="211"/>
      <c r="AJ234" s="211"/>
      <c r="AK234" s="103"/>
    </row>
    <row r="235" customFormat="false" ht="12.8" hidden="false" customHeight="false" outlineLevel="0" collapsed="false">
      <c r="A235" s="103"/>
      <c r="C235" s="103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103"/>
      <c r="U235" s="211"/>
      <c r="V235" s="211"/>
      <c r="W235" s="211"/>
      <c r="X235" s="211"/>
      <c r="Y235" s="211"/>
      <c r="Z235" s="211"/>
      <c r="AA235" s="211"/>
      <c r="AB235" s="211"/>
      <c r="AC235" s="211"/>
      <c r="AD235" s="211"/>
      <c r="AE235" s="211"/>
      <c r="AF235" s="211"/>
      <c r="AG235" s="211"/>
      <c r="AH235" s="211"/>
      <c r="AI235" s="211"/>
      <c r="AJ235" s="211"/>
      <c r="AK235" s="103"/>
    </row>
    <row r="236" customFormat="false" ht="12.8" hidden="false" customHeight="false" outlineLevel="0" collapsed="false">
      <c r="A236" s="103"/>
      <c r="C236" s="103"/>
      <c r="D236" s="57"/>
      <c r="E236" s="57"/>
      <c r="F236" s="57"/>
      <c r="G236" s="57"/>
      <c r="H236" s="57"/>
      <c r="I236" s="57"/>
      <c r="J236" s="57" t="s">
        <v>694</v>
      </c>
      <c r="K236" s="57"/>
      <c r="L236" s="80" t="s">
        <v>665</v>
      </c>
      <c r="M236" s="57"/>
      <c r="N236" s="57"/>
      <c r="O236" s="57"/>
      <c r="P236" s="57"/>
      <c r="Q236" s="57"/>
      <c r="R236" s="57"/>
      <c r="S236" s="57"/>
      <c r="T236" s="103"/>
      <c r="U236" s="211"/>
      <c r="V236" s="211"/>
      <c r="W236" s="211"/>
      <c r="X236" s="211"/>
      <c r="Y236" s="211"/>
      <c r="Z236" s="211"/>
      <c r="AA236" s="211"/>
      <c r="AB236" s="211"/>
      <c r="AC236" s="211"/>
      <c r="AD236" s="211"/>
      <c r="AE236" s="211"/>
      <c r="AF236" s="211"/>
      <c r="AG236" s="211"/>
      <c r="AH236" s="211"/>
      <c r="AI236" s="211"/>
      <c r="AJ236" s="211"/>
      <c r="AK236" s="103"/>
    </row>
    <row r="237" customFormat="false" ht="12.8" hidden="false" customHeight="true" outlineLevel="0" collapsed="false">
      <c r="A237" s="103"/>
      <c r="C237" s="103"/>
      <c r="D237" s="57"/>
      <c r="E237" s="57"/>
      <c r="F237" s="57"/>
      <c r="G237" s="57"/>
      <c r="H237" s="57"/>
      <c r="I237" s="57"/>
      <c r="J237" s="125" t="s">
        <v>865</v>
      </c>
      <c r="K237" s="125"/>
      <c r="L237" s="57" t="s">
        <v>697</v>
      </c>
      <c r="M237" s="57"/>
      <c r="N237" s="57"/>
      <c r="O237" s="57"/>
      <c r="P237" s="57"/>
      <c r="Q237" s="57"/>
      <c r="R237" s="57"/>
      <c r="S237" s="57"/>
      <c r="T237" s="103"/>
      <c r="U237" s="211"/>
      <c r="V237" s="211"/>
      <c r="W237" s="211"/>
      <c r="X237" s="211"/>
      <c r="Y237" s="211"/>
      <c r="Z237" s="211"/>
      <c r="AA237" s="211"/>
      <c r="AB237" s="211"/>
      <c r="AC237" s="211"/>
      <c r="AD237" s="211"/>
      <c r="AE237" s="211"/>
      <c r="AF237" s="211"/>
      <c r="AG237" s="211"/>
      <c r="AH237" s="211"/>
      <c r="AI237" s="211"/>
      <c r="AJ237" s="211"/>
      <c r="AK237" s="103"/>
    </row>
    <row r="238" customFormat="false" ht="12.8" hidden="false" customHeight="false" outlineLevel="0" collapsed="false">
      <c r="A238" s="103"/>
      <c r="C238" s="103"/>
      <c r="D238" s="57"/>
      <c r="E238" s="57"/>
      <c r="F238" s="57"/>
      <c r="G238" s="57"/>
      <c r="H238" s="57"/>
      <c r="I238" s="57"/>
      <c r="J238" s="125"/>
      <c r="K238" s="125"/>
      <c r="L238" s="57"/>
      <c r="M238" s="57"/>
      <c r="N238" s="57"/>
      <c r="O238" s="57"/>
      <c r="P238" s="57"/>
      <c r="Q238" s="57"/>
      <c r="R238" s="57"/>
      <c r="S238" s="57"/>
      <c r="T238" s="103"/>
      <c r="U238" s="211"/>
      <c r="V238" s="211"/>
      <c r="W238" s="211"/>
      <c r="X238" s="211"/>
      <c r="Y238" s="211"/>
      <c r="Z238" s="211"/>
      <c r="AA238" s="211"/>
      <c r="AB238" s="211"/>
      <c r="AC238" s="211"/>
      <c r="AD238" s="211"/>
      <c r="AE238" s="211"/>
      <c r="AF238" s="211"/>
      <c r="AG238" s="211"/>
      <c r="AH238" s="211"/>
      <c r="AI238" s="211"/>
      <c r="AJ238" s="211"/>
      <c r="AK238" s="103"/>
    </row>
    <row r="239" customFormat="false" ht="7.45" hidden="false" customHeight="true" outlineLevel="0" collapsed="false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12"/>
      <c r="L239" s="103"/>
      <c r="M239" s="103"/>
      <c r="N239" s="103"/>
      <c r="O239" s="103"/>
      <c r="P239" s="57"/>
      <c r="Q239" s="57"/>
      <c r="R239" s="57"/>
      <c r="S239" s="57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</row>
    <row r="240" customFormat="false" ht="12.8" hidden="false" customHeight="false" outlineLevel="0" collapsed="false">
      <c r="A240" s="103"/>
      <c r="B240" s="0" t="s">
        <v>866</v>
      </c>
      <c r="C240" s="103"/>
      <c r="D240" s="57" t="s">
        <v>860</v>
      </c>
      <c r="E240" s="57"/>
      <c r="F240" s="57"/>
      <c r="G240" s="57"/>
      <c r="H240" s="57"/>
      <c r="I240" s="57"/>
      <c r="J240" s="109" t="s">
        <v>733</v>
      </c>
      <c r="K240" s="109"/>
      <c r="L240" s="109"/>
      <c r="M240" s="109" t="s">
        <v>750</v>
      </c>
      <c r="N240" s="109"/>
      <c r="O240" s="109"/>
      <c r="P240" s="57"/>
      <c r="Q240" s="57"/>
      <c r="R240" s="57"/>
      <c r="S240" s="57"/>
      <c r="T240" s="103"/>
      <c r="U240" s="211" t="s">
        <v>698</v>
      </c>
      <c r="V240" s="211"/>
      <c r="W240" s="211"/>
      <c r="X240" s="211"/>
      <c r="Y240" s="211"/>
      <c r="Z240" s="211"/>
      <c r="AA240" s="211"/>
      <c r="AB240" s="211"/>
      <c r="AC240" s="211"/>
      <c r="AD240" s="211"/>
      <c r="AE240" s="211"/>
      <c r="AF240" s="211"/>
      <c r="AG240" s="211"/>
      <c r="AH240" s="211"/>
      <c r="AI240" s="211"/>
      <c r="AJ240" s="211"/>
      <c r="AK240" s="103"/>
    </row>
    <row r="241" customFormat="false" ht="12.8" hidden="false" customHeight="false" outlineLevel="0" collapsed="false">
      <c r="A241" s="103"/>
      <c r="C241" s="103"/>
      <c r="D241" s="57" t="s">
        <v>862</v>
      </c>
      <c r="E241" s="57"/>
      <c r="F241" s="57"/>
      <c r="G241" s="57"/>
      <c r="H241" s="57"/>
      <c r="I241" s="57"/>
      <c r="J241" s="57" t="s">
        <v>607</v>
      </c>
      <c r="K241" s="57"/>
      <c r="L241" s="80" t="s">
        <v>665</v>
      </c>
      <c r="M241" s="57" t="s">
        <v>867</v>
      </c>
      <c r="N241" s="57"/>
      <c r="O241" s="57"/>
      <c r="P241" s="57"/>
      <c r="Q241" s="57"/>
      <c r="R241" s="57"/>
      <c r="S241" s="57"/>
      <c r="T241" s="103"/>
      <c r="U241" s="211"/>
      <c r="V241" s="211"/>
      <c r="W241" s="211"/>
      <c r="X241" s="211"/>
      <c r="Y241" s="211"/>
      <c r="Z241" s="211"/>
      <c r="AA241" s="211"/>
      <c r="AB241" s="211"/>
      <c r="AC241" s="211"/>
      <c r="AD241" s="211"/>
      <c r="AE241" s="211"/>
      <c r="AF241" s="211"/>
      <c r="AG241" s="211"/>
      <c r="AH241" s="211"/>
      <c r="AI241" s="211"/>
      <c r="AJ241" s="211"/>
      <c r="AK241" s="103"/>
    </row>
    <row r="242" customFormat="false" ht="12.8" hidden="false" customHeight="false" outlineLevel="0" collapsed="false">
      <c r="A242" s="103"/>
      <c r="C242" s="103"/>
      <c r="D242" s="57"/>
      <c r="E242" s="57"/>
      <c r="F242" s="57"/>
      <c r="G242" s="57"/>
      <c r="H242" s="57"/>
      <c r="I242" s="57"/>
      <c r="J242" s="57" t="s">
        <v>864</v>
      </c>
      <c r="K242" s="57"/>
      <c r="L242" s="57" t="s">
        <v>691</v>
      </c>
      <c r="M242" s="57"/>
      <c r="N242" s="57"/>
      <c r="O242" s="57"/>
      <c r="P242" s="57"/>
      <c r="Q242" s="57"/>
      <c r="R242" s="57"/>
      <c r="S242" s="57"/>
      <c r="T242" s="103"/>
      <c r="U242" s="211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11"/>
      <c r="AK242" s="103"/>
    </row>
    <row r="243" customFormat="false" ht="12.8" hidden="false" customHeight="false" outlineLevel="0" collapsed="false">
      <c r="A243" s="103"/>
      <c r="C243" s="103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103"/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103"/>
    </row>
    <row r="244" customFormat="false" ht="7.45" hidden="false" customHeight="true" outlineLevel="0" collapsed="false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12"/>
      <c r="L244" s="103"/>
      <c r="M244" s="103"/>
      <c r="N244" s="103"/>
      <c r="O244" s="103"/>
      <c r="P244" s="57"/>
      <c r="Q244" s="57"/>
      <c r="R244" s="57"/>
      <c r="S244" s="57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</row>
    <row r="245" customFormat="false" ht="12.8" hidden="false" customHeight="false" outlineLevel="0" collapsed="false">
      <c r="A245" s="103"/>
      <c r="B245" s="0" t="s">
        <v>868</v>
      </c>
      <c r="C245" s="103"/>
      <c r="D245" s="57" t="s">
        <v>860</v>
      </c>
      <c r="E245" s="57"/>
      <c r="F245" s="57"/>
      <c r="G245" s="57"/>
      <c r="H245" s="57"/>
      <c r="I245" s="57"/>
      <c r="J245" s="109" t="s">
        <v>733</v>
      </c>
      <c r="K245" s="109"/>
      <c r="L245" s="109"/>
      <c r="M245" s="109" t="s">
        <v>750</v>
      </c>
      <c r="N245" s="109"/>
      <c r="O245" s="109"/>
      <c r="P245" s="57"/>
      <c r="Q245" s="57"/>
      <c r="R245" s="57"/>
      <c r="S245" s="57"/>
      <c r="T245" s="103"/>
      <c r="U245" s="211" t="s">
        <v>698</v>
      </c>
      <c r="V245" s="211"/>
      <c r="W245" s="211"/>
      <c r="X245" s="211"/>
      <c r="Y245" s="211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  <c r="AJ245" s="211"/>
      <c r="AK245" s="103"/>
    </row>
    <row r="246" customFormat="false" ht="12.8" hidden="false" customHeight="false" outlineLevel="0" collapsed="false">
      <c r="A246" s="103"/>
      <c r="C246" s="103"/>
      <c r="D246" s="57" t="s">
        <v>862</v>
      </c>
      <c r="E246" s="57"/>
      <c r="F246" s="57"/>
      <c r="G246" s="57"/>
      <c r="H246" s="57"/>
      <c r="I246" s="57"/>
      <c r="J246" s="57" t="s">
        <v>607</v>
      </c>
      <c r="K246" s="57"/>
      <c r="L246" s="80" t="s">
        <v>665</v>
      </c>
      <c r="M246" s="57" t="s">
        <v>869</v>
      </c>
      <c r="N246" s="57"/>
      <c r="O246" s="57"/>
      <c r="P246" s="57"/>
      <c r="Q246" s="57"/>
      <c r="R246" s="57"/>
      <c r="S246" s="57"/>
      <c r="T246" s="103"/>
      <c r="U246" s="211"/>
      <c r="V246" s="211"/>
      <c r="W246" s="211"/>
      <c r="X246" s="211"/>
      <c r="Y246" s="211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  <c r="AJ246" s="211"/>
      <c r="AK246" s="103"/>
    </row>
    <row r="247" customFormat="false" ht="12.8" hidden="false" customHeight="false" outlineLevel="0" collapsed="false">
      <c r="A247" s="103"/>
      <c r="C247" s="103"/>
      <c r="D247" s="57"/>
      <c r="E247" s="57"/>
      <c r="F247" s="57"/>
      <c r="G247" s="57"/>
      <c r="H247" s="57"/>
      <c r="I247" s="57"/>
      <c r="J247" s="57" t="s">
        <v>864</v>
      </c>
      <c r="K247" s="57"/>
      <c r="L247" s="57" t="s">
        <v>691</v>
      </c>
      <c r="M247" s="57"/>
      <c r="N247" s="57"/>
      <c r="O247" s="57"/>
      <c r="P247" s="57"/>
      <c r="Q247" s="57"/>
      <c r="R247" s="57"/>
      <c r="S247" s="57"/>
      <c r="T247" s="103"/>
      <c r="U247" s="211"/>
      <c r="V247" s="211"/>
      <c r="W247" s="211"/>
      <c r="X247" s="211"/>
      <c r="Y247" s="211"/>
      <c r="Z247" s="211"/>
      <c r="AA247" s="211"/>
      <c r="AB247" s="211"/>
      <c r="AC247" s="211"/>
      <c r="AD247" s="211"/>
      <c r="AE247" s="211"/>
      <c r="AF247" s="211"/>
      <c r="AG247" s="211"/>
      <c r="AH247" s="211"/>
      <c r="AI247" s="211"/>
      <c r="AJ247" s="211"/>
      <c r="AK247" s="103"/>
    </row>
    <row r="248" customFormat="false" ht="12.8" hidden="false" customHeight="false" outlineLevel="0" collapsed="false">
      <c r="A248" s="103"/>
      <c r="C248" s="103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103"/>
      <c r="U248" s="211"/>
      <c r="V248" s="211"/>
      <c r="W248" s="211"/>
      <c r="X248" s="211"/>
      <c r="Y248" s="211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  <c r="AJ248" s="211"/>
      <c r="AK248" s="103"/>
    </row>
    <row r="249" customFormat="false" ht="12.8" hidden="false" customHeight="false" outlineLevel="0" collapsed="false">
      <c r="A249" s="103"/>
      <c r="C249" s="103"/>
      <c r="D249" s="57"/>
      <c r="E249" s="57"/>
      <c r="F249" s="57"/>
      <c r="G249" s="57"/>
      <c r="H249" s="57"/>
      <c r="I249" s="57"/>
      <c r="J249" s="57" t="s">
        <v>694</v>
      </c>
      <c r="K249" s="57"/>
      <c r="L249" s="80" t="s">
        <v>665</v>
      </c>
      <c r="M249" s="57"/>
      <c r="N249" s="57"/>
      <c r="O249" s="57"/>
      <c r="P249" s="57"/>
      <c r="Q249" s="57"/>
      <c r="R249" s="57"/>
      <c r="S249" s="57"/>
      <c r="T249" s="103"/>
      <c r="U249" s="211"/>
      <c r="V249" s="211"/>
      <c r="W249" s="211"/>
      <c r="X249" s="211"/>
      <c r="Y249" s="211"/>
      <c r="Z249" s="211"/>
      <c r="AA249" s="211"/>
      <c r="AB249" s="211"/>
      <c r="AC249" s="211"/>
      <c r="AD249" s="211"/>
      <c r="AE249" s="211"/>
      <c r="AF249" s="211"/>
      <c r="AG249" s="211"/>
      <c r="AH249" s="211"/>
      <c r="AI249" s="211"/>
      <c r="AJ249" s="211"/>
      <c r="AK249" s="103"/>
    </row>
    <row r="250" customFormat="false" ht="12.8" hidden="false" customHeight="true" outlineLevel="0" collapsed="false">
      <c r="A250" s="103"/>
      <c r="C250" s="103"/>
      <c r="D250" s="57"/>
      <c r="E250" s="57"/>
      <c r="F250" s="57"/>
      <c r="G250" s="57"/>
      <c r="H250" s="57"/>
      <c r="I250" s="57"/>
      <c r="J250" s="125" t="s">
        <v>865</v>
      </c>
      <c r="K250" s="125"/>
      <c r="L250" s="57" t="s">
        <v>697</v>
      </c>
      <c r="M250" s="57"/>
      <c r="N250" s="57"/>
      <c r="O250" s="57"/>
      <c r="P250" s="57"/>
      <c r="Q250" s="57"/>
      <c r="R250" s="57"/>
      <c r="S250" s="57"/>
      <c r="T250" s="103"/>
      <c r="U250" s="211"/>
      <c r="V250" s="211"/>
      <c r="W250" s="211"/>
      <c r="X250" s="211"/>
      <c r="Y250" s="211"/>
      <c r="Z250" s="211"/>
      <c r="AA250" s="211"/>
      <c r="AB250" s="211"/>
      <c r="AC250" s="211"/>
      <c r="AD250" s="211"/>
      <c r="AE250" s="211"/>
      <c r="AF250" s="211"/>
      <c r="AG250" s="211"/>
      <c r="AH250" s="211"/>
      <c r="AI250" s="211"/>
      <c r="AJ250" s="211"/>
      <c r="AK250" s="103"/>
    </row>
    <row r="251" customFormat="false" ht="12.8" hidden="false" customHeight="false" outlineLevel="0" collapsed="false">
      <c r="A251" s="103"/>
      <c r="C251" s="103"/>
      <c r="D251" s="57"/>
      <c r="E251" s="57"/>
      <c r="F251" s="57"/>
      <c r="G251" s="57"/>
      <c r="H251" s="57"/>
      <c r="I251" s="57"/>
      <c r="J251" s="125"/>
      <c r="K251" s="125"/>
      <c r="L251" s="57"/>
      <c r="M251" s="57"/>
      <c r="N251" s="57"/>
      <c r="O251" s="57"/>
      <c r="P251" s="57"/>
      <c r="Q251" s="57"/>
      <c r="R251" s="57"/>
      <c r="S251" s="57"/>
      <c r="T251" s="103"/>
      <c r="U251" s="211"/>
      <c r="V251" s="211"/>
      <c r="W251" s="211"/>
      <c r="X251" s="211"/>
      <c r="Y251" s="211"/>
      <c r="Z251" s="211"/>
      <c r="AA251" s="211"/>
      <c r="AB251" s="211"/>
      <c r="AC251" s="211"/>
      <c r="AD251" s="211"/>
      <c r="AE251" s="211"/>
      <c r="AF251" s="211"/>
      <c r="AG251" s="211"/>
      <c r="AH251" s="211"/>
      <c r="AI251" s="211"/>
      <c r="AJ251" s="211"/>
      <c r="AK251" s="103"/>
    </row>
    <row r="252" customFormat="false" ht="7.45" hidden="false" customHeight="true" outlineLevel="0" collapsed="false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12"/>
      <c r="L252" s="103"/>
      <c r="M252" s="103"/>
      <c r="N252" s="103"/>
      <c r="O252" s="103"/>
      <c r="P252" s="57"/>
      <c r="Q252" s="57"/>
      <c r="R252" s="57"/>
      <c r="S252" s="57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</row>
    <row r="253" customFormat="false" ht="12.8" hidden="false" customHeight="false" outlineLevel="0" collapsed="false">
      <c r="A253" s="103"/>
      <c r="B253" s="0" t="s">
        <v>870</v>
      </c>
      <c r="C253" s="103"/>
      <c r="D253" s="57" t="s">
        <v>860</v>
      </c>
      <c r="E253" s="57"/>
      <c r="F253" s="57"/>
      <c r="G253" s="57"/>
      <c r="H253" s="57"/>
      <c r="I253" s="57"/>
      <c r="J253" s="109" t="s">
        <v>733</v>
      </c>
      <c r="K253" s="109"/>
      <c r="L253" s="109"/>
      <c r="M253" s="109" t="s">
        <v>750</v>
      </c>
      <c r="N253" s="109"/>
      <c r="O253" s="109"/>
      <c r="P253" s="57"/>
      <c r="Q253" s="57"/>
      <c r="R253" s="57"/>
      <c r="S253" s="57"/>
      <c r="T253" s="103"/>
      <c r="U253" s="211" t="s">
        <v>698</v>
      </c>
      <c r="V253" s="211"/>
      <c r="W253" s="211"/>
      <c r="X253" s="211"/>
      <c r="Y253" s="211"/>
      <c r="Z253" s="211"/>
      <c r="AA253" s="211"/>
      <c r="AB253" s="211"/>
      <c r="AC253" s="211"/>
      <c r="AD253" s="211"/>
      <c r="AE253" s="211"/>
      <c r="AF253" s="211"/>
      <c r="AG253" s="211"/>
      <c r="AH253" s="211"/>
      <c r="AI253" s="211"/>
      <c r="AJ253" s="211"/>
      <c r="AK253" s="103"/>
    </row>
    <row r="254" customFormat="false" ht="12.8" hidden="false" customHeight="false" outlineLevel="0" collapsed="false">
      <c r="A254" s="103"/>
      <c r="C254" s="103"/>
      <c r="D254" s="57" t="s">
        <v>862</v>
      </c>
      <c r="E254" s="57"/>
      <c r="F254" s="57"/>
      <c r="G254" s="57"/>
      <c r="H254" s="57"/>
      <c r="I254" s="57"/>
      <c r="J254" s="57" t="s">
        <v>607</v>
      </c>
      <c r="K254" s="57"/>
      <c r="L254" s="80" t="s">
        <v>665</v>
      </c>
      <c r="M254" s="57" t="s">
        <v>871</v>
      </c>
      <c r="N254" s="57"/>
      <c r="O254" s="57"/>
      <c r="P254" s="57"/>
      <c r="Q254" s="57"/>
      <c r="R254" s="57"/>
      <c r="S254" s="57"/>
      <c r="T254" s="103"/>
      <c r="U254" s="211"/>
      <c r="V254" s="211"/>
      <c r="W254" s="211"/>
      <c r="X254" s="211"/>
      <c r="Y254" s="211"/>
      <c r="Z254" s="211"/>
      <c r="AA254" s="211"/>
      <c r="AB254" s="211"/>
      <c r="AC254" s="211"/>
      <c r="AD254" s="211"/>
      <c r="AE254" s="211"/>
      <c r="AF254" s="211"/>
      <c r="AG254" s="211"/>
      <c r="AH254" s="211"/>
      <c r="AI254" s="211"/>
      <c r="AJ254" s="211"/>
      <c r="AK254" s="103"/>
    </row>
    <row r="255" customFormat="false" ht="12.8" hidden="false" customHeight="false" outlineLevel="0" collapsed="false">
      <c r="A255" s="103"/>
      <c r="C255" s="103"/>
      <c r="D255" s="57"/>
      <c r="E255" s="57"/>
      <c r="F255" s="57"/>
      <c r="G255" s="57"/>
      <c r="H255" s="57"/>
      <c r="I255" s="57"/>
      <c r="J255" s="57" t="s">
        <v>864</v>
      </c>
      <c r="K255" s="57"/>
      <c r="L255" s="57" t="s">
        <v>691</v>
      </c>
      <c r="M255" s="57"/>
      <c r="N255" s="57"/>
      <c r="O255" s="57"/>
      <c r="P255" s="57"/>
      <c r="Q255" s="57"/>
      <c r="R255" s="57"/>
      <c r="S255" s="57"/>
      <c r="T255" s="103"/>
      <c r="U255" s="211"/>
      <c r="V255" s="211"/>
      <c r="W255" s="211"/>
      <c r="X255" s="211"/>
      <c r="Y255" s="211"/>
      <c r="Z255" s="211"/>
      <c r="AA255" s="211"/>
      <c r="AB255" s="211"/>
      <c r="AC255" s="211"/>
      <c r="AD255" s="211"/>
      <c r="AE255" s="211"/>
      <c r="AF255" s="211"/>
      <c r="AG255" s="211"/>
      <c r="AH255" s="211"/>
      <c r="AI255" s="211"/>
      <c r="AJ255" s="211"/>
      <c r="AK255" s="103"/>
    </row>
    <row r="256" customFormat="false" ht="12.8" hidden="false" customHeight="false" outlineLevel="0" collapsed="false">
      <c r="A256" s="103"/>
      <c r="C256" s="103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103"/>
      <c r="U256" s="211"/>
      <c r="V256" s="211"/>
      <c r="W256" s="211"/>
      <c r="X256" s="211"/>
      <c r="Y256" s="211"/>
      <c r="Z256" s="211"/>
      <c r="AA256" s="211"/>
      <c r="AB256" s="211"/>
      <c r="AC256" s="211"/>
      <c r="AD256" s="211"/>
      <c r="AE256" s="211"/>
      <c r="AF256" s="211"/>
      <c r="AG256" s="211"/>
      <c r="AH256" s="211"/>
      <c r="AI256" s="211"/>
      <c r="AJ256" s="211"/>
      <c r="AK256" s="103"/>
    </row>
    <row r="257" customFormat="false" ht="12.8" hidden="false" customHeight="false" outlineLevel="0" collapsed="false">
      <c r="A257" s="103"/>
      <c r="C257" s="103"/>
      <c r="D257" s="57"/>
      <c r="E257" s="57"/>
      <c r="F257" s="57"/>
      <c r="G257" s="57"/>
      <c r="H257" s="57"/>
      <c r="I257" s="57"/>
      <c r="J257" s="57" t="s">
        <v>694</v>
      </c>
      <c r="K257" s="57"/>
      <c r="L257" s="80" t="s">
        <v>665</v>
      </c>
      <c r="M257" s="57"/>
      <c r="N257" s="57"/>
      <c r="O257" s="57"/>
      <c r="P257" s="57"/>
      <c r="Q257" s="57"/>
      <c r="R257" s="57"/>
      <c r="S257" s="57"/>
      <c r="T257" s="103"/>
      <c r="U257" s="211"/>
      <c r="V257" s="211"/>
      <c r="W257" s="211"/>
      <c r="X257" s="211"/>
      <c r="Y257" s="211"/>
      <c r="Z257" s="211"/>
      <c r="AA257" s="211"/>
      <c r="AB257" s="211"/>
      <c r="AC257" s="211"/>
      <c r="AD257" s="211"/>
      <c r="AE257" s="211"/>
      <c r="AF257" s="211"/>
      <c r="AG257" s="211"/>
      <c r="AH257" s="211"/>
      <c r="AI257" s="211"/>
      <c r="AJ257" s="211"/>
      <c r="AK257" s="103"/>
    </row>
    <row r="258" customFormat="false" ht="12.8" hidden="false" customHeight="true" outlineLevel="0" collapsed="false">
      <c r="A258" s="103"/>
      <c r="C258" s="103"/>
      <c r="D258" s="57"/>
      <c r="E258" s="57"/>
      <c r="F258" s="57"/>
      <c r="G258" s="57"/>
      <c r="H258" s="57"/>
      <c r="I258" s="57"/>
      <c r="J258" s="125" t="s">
        <v>865</v>
      </c>
      <c r="K258" s="125"/>
      <c r="L258" s="57" t="s">
        <v>697</v>
      </c>
      <c r="M258" s="57"/>
      <c r="N258" s="57"/>
      <c r="O258" s="57"/>
      <c r="P258" s="57"/>
      <c r="Q258" s="57"/>
      <c r="R258" s="57"/>
      <c r="S258" s="57"/>
      <c r="T258" s="103"/>
      <c r="U258" s="211"/>
      <c r="V258" s="211"/>
      <c r="W258" s="211"/>
      <c r="X258" s="211"/>
      <c r="Y258" s="211"/>
      <c r="Z258" s="211"/>
      <c r="AA258" s="211"/>
      <c r="AB258" s="211"/>
      <c r="AC258" s="211"/>
      <c r="AD258" s="211"/>
      <c r="AE258" s="211"/>
      <c r="AF258" s="211"/>
      <c r="AG258" s="211"/>
      <c r="AH258" s="211"/>
      <c r="AI258" s="211"/>
      <c r="AJ258" s="211"/>
      <c r="AK258" s="103"/>
    </row>
    <row r="259" customFormat="false" ht="12.8" hidden="false" customHeight="false" outlineLevel="0" collapsed="false">
      <c r="A259" s="103"/>
      <c r="C259" s="103"/>
      <c r="D259" s="57"/>
      <c r="E259" s="57"/>
      <c r="F259" s="57"/>
      <c r="G259" s="57"/>
      <c r="H259" s="57"/>
      <c r="I259" s="57"/>
      <c r="J259" s="125"/>
      <c r="K259" s="125"/>
      <c r="L259" s="57"/>
      <c r="M259" s="57"/>
      <c r="N259" s="57"/>
      <c r="O259" s="57"/>
      <c r="P259" s="57"/>
      <c r="Q259" s="57"/>
      <c r="R259" s="57"/>
      <c r="S259" s="57"/>
      <c r="T259" s="103"/>
      <c r="U259" s="211"/>
      <c r="V259" s="211"/>
      <c r="W259" s="211"/>
      <c r="X259" s="211"/>
      <c r="Y259" s="211"/>
      <c r="Z259" s="211"/>
      <c r="AA259" s="211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103"/>
    </row>
    <row r="260" customFormat="false" ht="7.45" hidden="false" customHeight="true" outlineLevel="0" collapsed="false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12"/>
      <c r="M260" s="103"/>
      <c r="N260" s="103"/>
      <c r="O260" s="103"/>
      <c r="P260" s="57"/>
      <c r="Q260" s="57"/>
      <c r="R260" s="57"/>
      <c r="S260" s="57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</row>
    <row r="261" customFormat="false" ht="12.8" hidden="false" customHeight="false" outlineLevel="0" collapsed="false">
      <c r="A261" s="103"/>
      <c r="B261" s="0" t="s">
        <v>565</v>
      </c>
      <c r="C261" s="103"/>
      <c r="D261" s="150" t="s">
        <v>660</v>
      </c>
      <c r="E261" s="150"/>
      <c r="F261" s="150"/>
      <c r="G261" s="109" t="s">
        <v>661</v>
      </c>
      <c r="H261" s="109"/>
      <c r="I261" s="109"/>
      <c r="J261" s="109"/>
      <c r="K261" s="109"/>
      <c r="L261" s="109"/>
      <c r="M261" s="109" t="s">
        <v>750</v>
      </c>
      <c r="N261" s="109"/>
      <c r="O261" s="109"/>
      <c r="P261" s="57"/>
      <c r="Q261" s="57"/>
      <c r="R261" s="57"/>
      <c r="S261" s="57"/>
      <c r="T261" s="103"/>
      <c r="U261" s="109" t="s">
        <v>661</v>
      </c>
      <c r="V261" s="109"/>
      <c r="W261" s="109"/>
      <c r="X261" s="109"/>
      <c r="Y261" s="109"/>
      <c r="Z261" s="109"/>
      <c r="AA261" s="57" t="s">
        <v>872</v>
      </c>
      <c r="AB261" s="57"/>
      <c r="AC261" s="57"/>
      <c r="AD261" s="57"/>
      <c r="AE261" s="57"/>
      <c r="AF261" s="57"/>
      <c r="AG261" s="57"/>
      <c r="AH261" s="57"/>
      <c r="AI261" s="57"/>
      <c r="AJ261" s="57"/>
      <c r="AK261" s="103"/>
    </row>
    <row r="262" customFormat="false" ht="12.8" hidden="false" customHeight="false" outlineLevel="0" collapsed="false">
      <c r="A262" s="103"/>
      <c r="C262" s="103"/>
      <c r="D262" s="57" t="s">
        <v>873</v>
      </c>
      <c r="E262" s="57"/>
      <c r="F262" s="57"/>
      <c r="G262" s="154" t="s">
        <v>607</v>
      </c>
      <c r="H262" s="154"/>
      <c r="I262" s="154"/>
      <c r="J262" s="154" t="s">
        <v>719</v>
      </c>
      <c r="K262" s="154"/>
      <c r="L262" s="154"/>
      <c r="M262" s="57" t="s">
        <v>874</v>
      </c>
      <c r="N262" s="57"/>
      <c r="O262" s="57"/>
      <c r="P262" s="57"/>
      <c r="Q262" s="57"/>
      <c r="R262" s="57"/>
      <c r="S262" s="57"/>
      <c r="T262" s="103"/>
      <c r="U262" s="154" t="s">
        <v>875</v>
      </c>
      <c r="V262" s="154"/>
      <c r="W262" s="154"/>
      <c r="X262" s="154"/>
      <c r="Y262" s="154"/>
      <c r="Z262" s="154"/>
      <c r="AA262" s="182"/>
      <c r="AB262" s="183"/>
      <c r="AC262" s="183"/>
      <c r="AD262" s="183"/>
      <c r="AE262" s="183"/>
      <c r="AF262" s="183"/>
      <c r="AG262" s="183"/>
      <c r="AH262" s="183"/>
      <c r="AI262" s="183"/>
      <c r="AJ262" s="184"/>
      <c r="AK262" s="103"/>
    </row>
    <row r="263" customFormat="false" ht="12.8" hidden="false" customHeight="false" outlineLevel="0" collapsed="false">
      <c r="A263" s="103"/>
      <c r="C263" s="103"/>
      <c r="D263" s="57" t="s">
        <v>876</v>
      </c>
      <c r="E263" s="57"/>
      <c r="F263" s="57"/>
      <c r="G263" s="154" t="s">
        <v>668</v>
      </c>
      <c r="H263" s="154"/>
      <c r="I263" s="154"/>
      <c r="J263" s="154" t="s">
        <v>607</v>
      </c>
      <c r="K263" s="154"/>
      <c r="L263" s="154"/>
      <c r="M263" s="57"/>
      <c r="N263" s="57"/>
      <c r="O263" s="57"/>
      <c r="P263" s="57"/>
      <c r="Q263" s="57"/>
      <c r="R263" s="57"/>
      <c r="S263" s="57"/>
      <c r="T263" s="103"/>
      <c r="U263" s="178" t="s">
        <v>607</v>
      </c>
      <c r="V263" s="178"/>
      <c r="W263" s="178"/>
      <c r="X263" s="57" t="s">
        <v>722</v>
      </c>
      <c r="Y263" s="57"/>
      <c r="Z263" s="57"/>
      <c r="AA263" s="212"/>
      <c r="AJ263" s="127"/>
      <c r="AK263" s="103"/>
    </row>
    <row r="264" customFormat="false" ht="12.8" hidden="false" customHeight="false" outlineLevel="0" collapsed="false">
      <c r="A264" s="103"/>
      <c r="C264" s="103"/>
      <c r="D264" s="57"/>
      <c r="E264" s="57"/>
      <c r="F264" s="57"/>
      <c r="G264" s="154"/>
      <c r="H264" s="154"/>
      <c r="I264" s="154"/>
      <c r="J264" s="162" t="s">
        <v>877</v>
      </c>
      <c r="K264" s="162"/>
      <c r="L264" s="162"/>
      <c r="M264" s="57"/>
      <c r="N264" s="57"/>
      <c r="O264" s="57"/>
      <c r="P264" s="57"/>
      <c r="Q264" s="57"/>
      <c r="R264" s="57"/>
      <c r="S264" s="57"/>
      <c r="T264" s="103"/>
      <c r="U264" s="221" t="s">
        <v>668</v>
      </c>
      <c r="V264" s="221"/>
      <c r="W264" s="221"/>
      <c r="X264" s="182"/>
      <c r="Y264" s="183"/>
      <c r="Z264" s="184"/>
      <c r="AA264" s="212"/>
      <c r="AJ264" s="127"/>
      <c r="AK264" s="103"/>
    </row>
    <row r="265" customFormat="false" ht="12.8" hidden="false" customHeight="false" outlineLevel="0" collapsed="false">
      <c r="A265" s="103"/>
      <c r="C265" s="103"/>
      <c r="D265" s="57"/>
      <c r="E265" s="57"/>
      <c r="F265" s="57"/>
      <c r="G265" s="154"/>
      <c r="H265" s="154"/>
      <c r="I265" s="154"/>
      <c r="J265" s="162"/>
      <c r="K265" s="162"/>
      <c r="L265" s="162"/>
      <c r="M265" s="57"/>
      <c r="N265" s="57"/>
      <c r="O265" s="57"/>
      <c r="P265" s="57"/>
      <c r="Q265" s="57"/>
      <c r="R265" s="57"/>
      <c r="S265" s="57"/>
      <c r="T265" s="103"/>
      <c r="U265" s="221"/>
      <c r="V265" s="221"/>
      <c r="W265" s="221"/>
      <c r="X265" s="189"/>
      <c r="Y265" s="190"/>
      <c r="Z265" s="191"/>
      <c r="AA265" s="212"/>
      <c r="AJ265" s="127"/>
      <c r="AK265" s="103"/>
    </row>
    <row r="266" customFormat="false" ht="12.8" hidden="false" customHeight="false" outlineLevel="0" collapsed="false">
      <c r="A266" s="103"/>
      <c r="C266" s="103"/>
      <c r="D266" s="57"/>
      <c r="E266" s="57"/>
      <c r="F266" s="57"/>
      <c r="G266" s="154"/>
      <c r="H266" s="154"/>
      <c r="I266" s="154"/>
      <c r="J266" s="154" t="s">
        <v>878</v>
      </c>
      <c r="K266" s="154"/>
      <c r="L266" s="154"/>
      <c r="M266" s="57"/>
      <c r="N266" s="57"/>
      <c r="O266" s="57"/>
      <c r="P266" s="57"/>
      <c r="Q266" s="57"/>
      <c r="R266" s="57"/>
      <c r="S266" s="57"/>
      <c r="T266" s="103"/>
      <c r="U266" s="154" t="s">
        <v>878</v>
      </c>
      <c r="V266" s="154"/>
      <c r="W266" s="154"/>
      <c r="X266" s="154"/>
      <c r="Y266" s="154"/>
      <c r="Z266" s="154"/>
      <c r="AA266" s="212"/>
      <c r="AJ266" s="127"/>
      <c r="AK266" s="103"/>
    </row>
    <row r="267" customFormat="false" ht="12.8" hidden="false" customHeight="false" outlineLevel="0" collapsed="false">
      <c r="A267" s="103"/>
      <c r="C267" s="103"/>
      <c r="D267" s="57"/>
      <c r="E267" s="57"/>
      <c r="F267" s="57"/>
      <c r="G267" s="154"/>
      <c r="H267" s="154"/>
      <c r="I267" s="154"/>
      <c r="J267" s="162" t="s">
        <v>879</v>
      </c>
      <c r="K267" s="162"/>
      <c r="L267" s="162"/>
      <c r="M267" s="57"/>
      <c r="N267" s="57"/>
      <c r="O267" s="57"/>
      <c r="P267" s="57"/>
      <c r="Q267" s="57"/>
      <c r="R267" s="57"/>
      <c r="S267" s="57"/>
      <c r="T267" s="103"/>
      <c r="U267" s="154" t="s">
        <v>728</v>
      </c>
      <c r="V267" s="154"/>
      <c r="W267" s="154"/>
      <c r="X267" s="154"/>
      <c r="Y267" s="154"/>
      <c r="Z267" s="154"/>
      <c r="AA267" s="212"/>
      <c r="AJ267" s="127"/>
      <c r="AK267" s="103"/>
    </row>
    <row r="268" customFormat="false" ht="12.8" hidden="false" customHeight="false" outlineLevel="0" collapsed="false">
      <c r="A268" s="103"/>
      <c r="C268" s="103"/>
      <c r="D268" s="57"/>
      <c r="E268" s="57"/>
      <c r="F268" s="57"/>
      <c r="G268" s="154"/>
      <c r="H268" s="154"/>
      <c r="I268" s="154"/>
      <c r="J268" s="162"/>
      <c r="K268" s="162"/>
      <c r="L268" s="162"/>
      <c r="M268" s="57"/>
      <c r="N268" s="57"/>
      <c r="O268" s="57"/>
      <c r="P268" s="57"/>
      <c r="Q268" s="57"/>
      <c r="R268" s="57"/>
      <c r="S268" s="57"/>
      <c r="T268" s="103"/>
      <c r="U268" s="154"/>
      <c r="V268" s="154"/>
      <c r="W268" s="154"/>
      <c r="X268" s="154"/>
      <c r="Y268" s="154"/>
      <c r="Z268" s="154"/>
      <c r="AA268" s="189"/>
      <c r="AB268" s="190"/>
      <c r="AC268" s="190"/>
      <c r="AD268" s="190"/>
      <c r="AE268" s="190"/>
      <c r="AF268" s="190"/>
      <c r="AG268" s="190"/>
      <c r="AH268" s="190"/>
      <c r="AI268" s="190"/>
      <c r="AJ268" s="191"/>
      <c r="AK268" s="103"/>
    </row>
    <row r="269" customFormat="false" ht="12.8" hidden="false" customHeight="false" outlineLevel="0" collapsed="false">
      <c r="A269" s="103"/>
      <c r="C269" s="103"/>
      <c r="D269" s="57"/>
      <c r="E269" s="57"/>
      <c r="F269" s="57"/>
      <c r="G269" s="154"/>
      <c r="H269" s="154"/>
      <c r="I269" s="154"/>
      <c r="J269" s="154" t="s">
        <v>676</v>
      </c>
      <c r="K269" s="154"/>
      <c r="L269" s="154"/>
      <c r="M269" s="57"/>
      <c r="N269" s="57"/>
      <c r="O269" s="57"/>
      <c r="P269" s="57"/>
      <c r="Q269" s="57"/>
      <c r="R269" s="57"/>
      <c r="S269" s="57"/>
      <c r="T269" s="103"/>
      <c r="U269" s="211" t="s">
        <v>822</v>
      </c>
      <c r="V269" s="211"/>
      <c r="W269" s="211"/>
      <c r="X269" s="211"/>
      <c r="Y269" s="211"/>
      <c r="Z269" s="211"/>
      <c r="AA269" s="211"/>
      <c r="AB269" s="211"/>
      <c r="AC269" s="211"/>
      <c r="AD269" s="211"/>
      <c r="AE269" s="211"/>
      <c r="AF269" s="211"/>
      <c r="AG269" s="211"/>
      <c r="AH269" s="211"/>
      <c r="AI269" s="211"/>
      <c r="AJ269" s="211"/>
      <c r="AK269" s="103"/>
    </row>
    <row r="270" customFormat="false" ht="12.8" hidden="false" customHeight="false" outlineLevel="0" collapsed="false">
      <c r="A270" s="103"/>
      <c r="C270" s="103"/>
      <c r="D270" s="57"/>
      <c r="E270" s="57"/>
      <c r="F270" s="57"/>
      <c r="G270" s="154"/>
      <c r="H270" s="154"/>
      <c r="I270" s="154"/>
      <c r="J270" s="154" t="s">
        <v>875</v>
      </c>
      <c r="K270" s="154"/>
      <c r="L270" s="154"/>
      <c r="M270" s="57"/>
      <c r="N270" s="57"/>
      <c r="O270" s="57"/>
      <c r="P270" s="57"/>
      <c r="Q270" s="57"/>
      <c r="R270" s="57"/>
      <c r="S270" s="57"/>
      <c r="T270" s="103"/>
      <c r="U270" s="211"/>
      <c r="V270" s="211"/>
      <c r="W270" s="211"/>
      <c r="X270" s="211"/>
      <c r="Y270" s="211"/>
      <c r="Z270" s="211"/>
      <c r="AA270" s="211"/>
      <c r="AB270" s="211"/>
      <c r="AC270" s="211"/>
      <c r="AD270" s="211"/>
      <c r="AE270" s="211"/>
      <c r="AF270" s="211"/>
      <c r="AG270" s="211"/>
      <c r="AH270" s="211"/>
      <c r="AI270" s="211"/>
      <c r="AJ270" s="211"/>
      <c r="AK270" s="103"/>
    </row>
    <row r="271" customFormat="false" ht="12.8" hidden="false" customHeight="false" outlineLevel="0" collapsed="false">
      <c r="A271" s="103"/>
      <c r="C271" s="103"/>
      <c r="D271" s="57"/>
      <c r="E271" s="57"/>
      <c r="F271" s="57"/>
      <c r="G271" s="154"/>
      <c r="H271" s="154"/>
      <c r="I271" s="154"/>
      <c r="J271" s="154" t="s">
        <v>880</v>
      </c>
      <c r="K271" s="154"/>
      <c r="L271" s="154"/>
      <c r="M271" s="57"/>
      <c r="N271" s="57"/>
      <c r="O271" s="57"/>
      <c r="P271" s="57"/>
      <c r="Q271" s="57"/>
      <c r="R271" s="57"/>
      <c r="S271" s="57"/>
      <c r="T271" s="103"/>
      <c r="U271" s="211"/>
      <c r="V271" s="211"/>
      <c r="W271" s="211"/>
      <c r="X271" s="211"/>
      <c r="Y271" s="211"/>
      <c r="Z271" s="211"/>
      <c r="AA271" s="211"/>
      <c r="AB271" s="211"/>
      <c r="AC271" s="211"/>
      <c r="AD271" s="211"/>
      <c r="AE271" s="211"/>
      <c r="AF271" s="211"/>
      <c r="AG271" s="211"/>
      <c r="AH271" s="211"/>
      <c r="AI271" s="211"/>
      <c r="AJ271" s="211"/>
      <c r="AK271" s="103"/>
    </row>
    <row r="272" customFormat="false" ht="12.8" hidden="false" customHeight="false" outlineLevel="0" collapsed="false">
      <c r="A272" s="103"/>
      <c r="C272" s="103"/>
      <c r="D272" s="57"/>
      <c r="E272" s="57"/>
      <c r="F272" s="57"/>
      <c r="G272" s="154"/>
      <c r="H272" s="154"/>
      <c r="I272" s="154"/>
      <c r="J272" s="154"/>
      <c r="K272" s="154"/>
      <c r="L272" s="154"/>
      <c r="M272" s="57"/>
      <c r="N272" s="57"/>
      <c r="O272" s="57"/>
      <c r="P272" s="57"/>
      <c r="Q272" s="57"/>
      <c r="R272" s="57"/>
      <c r="S272" s="57"/>
      <c r="T272" s="103"/>
      <c r="U272" s="211"/>
      <c r="V272" s="211"/>
      <c r="W272" s="211"/>
      <c r="X272" s="211"/>
      <c r="Y272" s="211"/>
      <c r="Z272" s="211"/>
      <c r="AA272" s="211"/>
      <c r="AB272" s="211"/>
      <c r="AC272" s="211"/>
      <c r="AD272" s="211"/>
      <c r="AE272" s="211"/>
      <c r="AF272" s="211"/>
      <c r="AG272" s="211"/>
      <c r="AH272" s="211"/>
      <c r="AI272" s="211"/>
      <c r="AJ272" s="211"/>
      <c r="AK272" s="103"/>
    </row>
    <row r="273" customFormat="false" ht="7.45" hidden="false" customHeight="true" outlineLevel="0" collapsed="false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57"/>
      <c r="Q273" s="57"/>
      <c r="R273" s="57"/>
      <c r="S273" s="57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</row>
    <row r="274" customFormat="false" ht="12.8" hidden="false" customHeight="false" outlineLevel="0" collapsed="false">
      <c r="A274" s="103"/>
      <c r="B274" s="0" t="s">
        <v>569</v>
      </c>
      <c r="C274" s="103"/>
      <c r="D274" s="150" t="s">
        <v>661</v>
      </c>
      <c r="E274" s="150"/>
      <c r="F274" s="150"/>
      <c r="G274" s="109" t="s">
        <v>660</v>
      </c>
      <c r="H274" s="109"/>
      <c r="I274" s="109"/>
      <c r="J274" s="109"/>
      <c r="K274" s="109"/>
      <c r="L274" s="109"/>
      <c r="M274" s="109" t="s">
        <v>750</v>
      </c>
      <c r="N274" s="109"/>
      <c r="O274" s="109"/>
      <c r="P274" s="57"/>
      <c r="Q274" s="57"/>
      <c r="R274" s="57"/>
      <c r="S274" s="57"/>
      <c r="T274" s="103"/>
      <c r="U274" s="109" t="s">
        <v>660</v>
      </c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57" t="s">
        <v>808</v>
      </c>
      <c r="AJ274" s="57"/>
      <c r="AK274" s="103"/>
    </row>
    <row r="275" customFormat="false" ht="12.8" hidden="false" customHeight="false" outlineLevel="0" collapsed="false">
      <c r="A275" s="103"/>
      <c r="C275" s="103"/>
      <c r="D275" s="154" t="s">
        <v>873</v>
      </c>
      <c r="E275" s="154"/>
      <c r="F275" s="154"/>
      <c r="G275" s="57" t="s">
        <v>607</v>
      </c>
      <c r="H275" s="57"/>
      <c r="I275" s="57"/>
      <c r="J275" s="57" t="s">
        <v>719</v>
      </c>
      <c r="K275" s="57"/>
      <c r="L275" s="57"/>
      <c r="M275" s="57" t="s">
        <v>881</v>
      </c>
      <c r="N275" s="57"/>
      <c r="O275" s="57"/>
      <c r="P275" s="57"/>
      <c r="Q275" s="57"/>
      <c r="R275" s="57"/>
      <c r="S275" s="57"/>
      <c r="T275" s="103"/>
      <c r="U275" s="57" t="s">
        <v>875</v>
      </c>
      <c r="V275" s="57"/>
      <c r="W275" s="57"/>
      <c r="X275" s="57"/>
      <c r="Y275" s="57"/>
      <c r="Z275" s="57"/>
      <c r="AA275" s="57" t="s">
        <v>882</v>
      </c>
      <c r="AB275" s="57"/>
      <c r="AC275" s="57" t="s">
        <v>883</v>
      </c>
      <c r="AD275" s="57"/>
      <c r="AE275" s="57"/>
      <c r="AF275" s="57"/>
      <c r="AG275" s="57"/>
      <c r="AH275" s="57"/>
      <c r="AI275" s="182"/>
      <c r="AJ275" s="184"/>
      <c r="AK275" s="103"/>
    </row>
    <row r="276" customFormat="false" ht="12.8" hidden="false" customHeight="false" outlineLevel="0" collapsed="false">
      <c r="A276" s="103"/>
      <c r="C276" s="103"/>
      <c r="D276" s="154" t="s">
        <v>818</v>
      </c>
      <c r="E276" s="154"/>
      <c r="F276" s="154"/>
      <c r="G276" s="57" t="s">
        <v>668</v>
      </c>
      <c r="H276" s="57"/>
      <c r="I276" s="57"/>
      <c r="J276" s="57" t="s">
        <v>607</v>
      </c>
      <c r="K276" s="57"/>
      <c r="L276" s="57"/>
      <c r="M276" s="57"/>
      <c r="N276" s="57"/>
      <c r="O276" s="57"/>
      <c r="P276" s="57"/>
      <c r="Q276" s="57"/>
      <c r="R276" s="57"/>
      <c r="S276" s="57"/>
      <c r="T276" s="103"/>
      <c r="U276" s="202" t="s">
        <v>607</v>
      </c>
      <c r="V276" s="202"/>
      <c r="W276" s="202"/>
      <c r="X276" s="57" t="s">
        <v>722</v>
      </c>
      <c r="Y276" s="57"/>
      <c r="Z276" s="57"/>
      <c r="AA276" s="179" t="s">
        <v>884</v>
      </c>
      <c r="AB276" s="179"/>
      <c r="AC276" s="57" t="s">
        <v>607</v>
      </c>
      <c r="AD276" s="57"/>
      <c r="AE276" s="57"/>
      <c r="AF276" s="57" t="s">
        <v>722</v>
      </c>
      <c r="AG276" s="57"/>
      <c r="AH276" s="57"/>
      <c r="AI276" s="212"/>
      <c r="AJ276" s="127"/>
      <c r="AK276" s="103"/>
    </row>
    <row r="277" customFormat="false" ht="12.8" hidden="false" customHeight="false" outlineLevel="0" collapsed="false">
      <c r="A277" s="103"/>
      <c r="C277" s="103"/>
      <c r="D277" s="154"/>
      <c r="E277" s="154"/>
      <c r="F277" s="154"/>
      <c r="G277" s="57"/>
      <c r="H277" s="57"/>
      <c r="I277" s="57"/>
      <c r="J277" s="157" t="s">
        <v>877</v>
      </c>
      <c r="K277" s="157"/>
      <c r="L277" s="157"/>
      <c r="M277" s="57"/>
      <c r="N277" s="57"/>
      <c r="O277" s="57"/>
      <c r="P277" s="57"/>
      <c r="Q277" s="57"/>
      <c r="R277" s="57"/>
      <c r="S277" s="57"/>
      <c r="T277" s="103"/>
      <c r="U277" s="57" t="s">
        <v>668</v>
      </c>
      <c r="V277" s="57"/>
      <c r="W277" s="57"/>
      <c r="X277" s="182"/>
      <c r="Y277" s="183"/>
      <c r="Z277" s="184"/>
      <c r="AA277" s="170" t="s">
        <v>885</v>
      </c>
      <c r="AB277" s="170"/>
      <c r="AC277" s="57" t="s">
        <v>668</v>
      </c>
      <c r="AD277" s="57"/>
      <c r="AE277" s="57"/>
      <c r="AF277" s="182"/>
      <c r="AG277" s="183"/>
      <c r="AH277" s="184"/>
      <c r="AI277" s="212"/>
      <c r="AJ277" s="127"/>
      <c r="AK277" s="103"/>
    </row>
    <row r="278" customFormat="false" ht="12.8" hidden="false" customHeight="false" outlineLevel="0" collapsed="false">
      <c r="A278" s="103"/>
      <c r="C278" s="103"/>
      <c r="D278" s="154"/>
      <c r="E278" s="154"/>
      <c r="F278" s="154"/>
      <c r="G278" s="57"/>
      <c r="H278" s="57"/>
      <c r="I278" s="57"/>
      <c r="J278" s="157"/>
      <c r="K278" s="157"/>
      <c r="L278" s="157"/>
      <c r="M278" s="57"/>
      <c r="N278" s="57"/>
      <c r="O278" s="57"/>
      <c r="P278" s="57"/>
      <c r="Q278" s="57"/>
      <c r="R278" s="57"/>
      <c r="S278" s="57"/>
      <c r="T278" s="103"/>
      <c r="U278" s="57"/>
      <c r="V278" s="57"/>
      <c r="W278" s="57"/>
      <c r="X278" s="189"/>
      <c r="Y278" s="190"/>
      <c r="Z278" s="191"/>
      <c r="AA278" s="170" t="s">
        <v>886</v>
      </c>
      <c r="AB278" s="170"/>
      <c r="AC278" s="57"/>
      <c r="AD278" s="57"/>
      <c r="AE278" s="57"/>
      <c r="AF278" s="189"/>
      <c r="AG278" s="190"/>
      <c r="AH278" s="191"/>
      <c r="AI278" s="212"/>
      <c r="AJ278" s="127"/>
      <c r="AK278" s="103"/>
    </row>
    <row r="279" customFormat="false" ht="12.8" hidden="false" customHeight="false" outlineLevel="0" collapsed="false">
      <c r="A279" s="103"/>
      <c r="C279" s="103"/>
      <c r="D279" s="154"/>
      <c r="E279" s="154"/>
      <c r="F279" s="154"/>
      <c r="G279" s="57"/>
      <c r="H279" s="57"/>
      <c r="I279" s="57"/>
      <c r="J279" s="57" t="s">
        <v>878</v>
      </c>
      <c r="K279" s="57"/>
      <c r="L279" s="57"/>
      <c r="M279" s="57"/>
      <c r="N279" s="57"/>
      <c r="O279" s="57"/>
      <c r="P279" s="57"/>
      <c r="Q279" s="57"/>
      <c r="R279" s="57"/>
      <c r="S279" s="57"/>
      <c r="T279" s="103"/>
      <c r="U279" s="57" t="s">
        <v>878</v>
      </c>
      <c r="V279" s="57"/>
      <c r="W279" s="57"/>
      <c r="X279" s="57"/>
      <c r="Y279" s="57"/>
      <c r="Z279" s="57"/>
      <c r="AA279" s="170" t="s">
        <v>887</v>
      </c>
      <c r="AB279" s="170"/>
      <c r="AC279" s="57" t="s">
        <v>878</v>
      </c>
      <c r="AD279" s="57"/>
      <c r="AE279" s="57"/>
      <c r="AF279" s="57"/>
      <c r="AG279" s="57"/>
      <c r="AH279" s="57"/>
      <c r="AI279" s="212"/>
      <c r="AJ279" s="127"/>
      <c r="AK279" s="103"/>
    </row>
    <row r="280" customFormat="false" ht="12.8" hidden="false" customHeight="false" outlineLevel="0" collapsed="false">
      <c r="A280" s="103"/>
      <c r="C280" s="103"/>
      <c r="D280" s="154"/>
      <c r="E280" s="154"/>
      <c r="F280" s="154"/>
      <c r="G280" s="57"/>
      <c r="H280" s="57"/>
      <c r="I280" s="57"/>
      <c r="J280" s="157" t="s">
        <v>879</v>
      </c>
      <c r="K280" s="157"/>
      <c r="L280" s="157"/>
      <c r="M280" s="57"/>
      <c r="N280" s="57"/>
      <c r="O280" s="57"/>
      <c r="P280" s="57"/>
      <c r="Q280" s="57"/>
      <c r="R280" s="57"/>
      <c r="S280" s="57"/>
      <c r="T280" s="103"/>
      <c r="U280" s="57" t="s">
        <v>728</v>
      </c>
      <c r="V280" s="57"/>
      <c r="W280" s="57"/>
      <c r="X280" s="57"/>
      <c r="Y280" s="57"/>
      <c r="Z280" s="57"/>
      <c r="AA280" s="170"/>
      <c r="AB280" s="170"/>
      <c r="AC280" s="157" t="s">
        <v>728</v>
      </c>
      <c r="AD280" s="157"/>
      <c r="AE280" s="157"/>
      <c r="AF280" s="157"/>
      <c r="AG280" s="157"/>
      <c r="AH280" s="157"/>
      <c r="AI280" s="212"/>
      <c r="AJ280" s="127"/>
      <c r="AK280" s="103"/>
    </row>
    <row r="281" customFormat="false" ht="12.8" hidden="false" customHeight="false" outlineLevel="0" collapsed="false">
      <c r="A281" s="103"/>
      <c r="C281" s="103"/>
      <c r="D281" s="154"/>
      <c r="E281" s="154"/>
      <c r="F281" s="154"/>
      <c r="G281" s="57"/>
      <c r="H281" s="57"/>
      <c r="I281" s="57"/>
      <c r="J281" s="157"/>
      <c r="K281" s="157"/>
      <c r="L281" s="157"/>
      <c r="M281" s="57"/>
      <c r="N281" s="57"/>
      <c r="O281" s="57"/>
      <c r="P281" s="57"/>
      <c r="Q281" s="57"/>
      <c r="R281" s="57"/>
      <c r="S281" s="57"/>
      <c r="T281" s="103"/>
      <c r="U281" s="57"/>
      <c r="V281" s="57"/>
      <c r="W281" s="57"/>
      <c r="X281" s="57"/>
      <c r="Y281" s="57"/>
      <c r="Z281" s="57"/>
      <c r="AA281" s="215"/>
      <c r="AB281" s="215"/>
      <c r="AC281" s="157"/>
      <c r="AD281" s="157"/>
      <c r="AE281" s="157"/>
      <c r="AF281" s="157"/>
      <c r="AG281" s="157"/>
      <c r="AH281" s="157"/>
      <c r="AI281" s="189"/>
      <c r="AJ281" s="191"/>
      <c r="AK281" s="103"/>
    </row>
    <row r="282" customFormat="false" ht="12.8" hidden="false" customHeight="false" outlineLevel="0" collapsed="false">
      <c r="A282" s="103"/>
      <c r="C282" s="103"/>
      <c r="D282" s="154"/>
      <c r="E282" s="154"/>
      <c r="F282" s="154"/>
      <c r="G282" s="57"/>
      <c r="H282" s="57"/>
      <c r="I282" s="57"/>
      <c r="J282" s="57" t="s">
        <v>676</v>
      </c>
      <c r="K282" s="57"/>
      <c r="L282" s="57"/>
      <c r="M282" s="57"/>
      <c r="N282" s="57"/>
      <c r="O282" s="57"/>
      <c r="P282" s="57"/>
      <c r="Q282" s="57"/>
      <c r="R282" s="57"/>
      <c r="S282" s="57"/>
      <c r="T282" s="103"/>
      <c r="U282" s="211" t="s">
        <v>822</v>
      </c>
      <c r="V282" s="211"/>
      <c r="W282" s="211"/>
      <c r="X282" s="211"/>
      <c r="Y282" s="211"/>
      <c r="Z282" s="211"/>
      <c r="AA282" s="211"/>
      <c r="AB282" s="211"/>
      <c r="AC282" s="211"/>
      <c r="AD282" s="211"/>
      <c r="AE282" s="211"/>
      <c r="AF282" s="211"/>
      <c r="AG282" s="211"/>
      <c r="AH282" s="211"/>
      <c r="AI282" s="211"/>
      <c r="AJ282" s="211"/>
      <c r="AK282" s="103"/>
    </row>
    <row r="283" customFormat="false" ht="12.8" hidden="false" customHeight="false" outlineLevel="0" collapsed="false">
      <c r="A283" s="103"/>
      <c r="C283" s="103"/>
      <c r="D283" s="154"/>
      <c r="E283" s="154"/>
      <c r="F283" s="154"/>
      <c r="G283" s="57"/>
      <c r="H283" s="57"/>
      <c r="I283" s="57"/>
      <c r="J283" s="57" t="s">
        <v>875</v>
      </c>
      <c r="K283" s="57"/>
      <c r="L283" s="57"/>
      <c r="M283" s="57"/>
      <c r="N283" s="57"/>
      <c r="O283" s="57"/>
      <c r="P283" s="57"/>
      <c r="Q283" s="57"/>
      <c r="R283" s="57"/>
      <c r="S283" s="57"/>
      <c r="T283" s="103"/>
      <c r="U283" s="211"/>
      <c r="V283" s="211"/>
      <c r="W283" s="211"/>
      <c r="X283" s="211"/>
      <c r="Y283" s="211"/>
      <c r="Z283" s="211"/>
      <c r="AA283" s="211"/>
      <c r="AB283" s="211"/>
      <c r="AC283" s="211"/>
      <c r="AD283" s="211"/>
      <c r="AE283" s="211"/>
      <c r="AF283" s="211"/>
      <c r="AG283" s="211"/>
      <c r="AH283" s="211"/>
      <c r="AI283" s="211"/>
      <c r="AJ283" s="211"/>
      <c r="AK283" s="103"/>
    </row>
    <row r="284" customFormat="false" ht="12.8" hidden="false" customHeight="false" outlineLevel="0" collapsed="false">
      <c r="A284" s="103"/>
      <c r="C284" s="103"/>
      <c r="D284" s="154"/>
      <c r="E284" s="154"/>
      <c r="F284" s="154"/>
      <c r="G284" s="57"/>
      <c r="H284" s="57"/>
      <c r="I284" s="57"/>
      <c r="J284" s="57" t="s">
        <v>880</v>
      </c>
      <c r="K284" s="57"/>
      <c r="L284" s="57"/>
      <c r="M284" s="57"/>
      <c r="N284" s="57"/>
      <c r="O284" s="57"/>
      <c r="P284" s="57"/>
      <c r="Q284" s="57"/>
      <c r="R284" s="57"/>
      <c r="S284" s="57"/>
      <c r="T284" s="103"/>
      <c r="U284" s="211"/>
      <c r="V284" s="211"/>
      <c r="W284" s="211"/>
      <c r="X284" s="211"/>
      <c r="Y284" s="211"/>
      <c r="Z284" s="211"/>
      <c r="AA284" s="211"/>
      <c r="AB284" s="211"/>
      <c r="AC284" s="211"/>
      <c r="AD284" s="211"/>
      <c r="AE284" s="211"/>
      <c r="AF284" s="211"/>
      <c r="AG284" s="211"/>
      <c r="AH284" s="211"/>
      <c r="AI284" s="211"/>
      <c r="AJ284" s="211"/>
      <c r="AK284" s="103"/>
    </row>
    <row r="285" customFormat="false" ht="12.8" hidden="false" customHeight="false" outlineLevel="0" collapsed="false">
      <c r="A285" s="103"/>
      <c r="C285" s="103"/>
      <c r="D285" s="154"/>
      <c r="E285" s="154"/>
      <c r="F285" s="154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103"/>
      <c r="U285" s="211"/>
      <c r="V285" s="211"/>
      <c r="W285" s="211"/>
      <c r="X285" s="211"/>
      <c r="Y285" s="211"/>
      <c r="Z285" s="211"/>
      <c r="AA285" s="211"/>
      <c r="AB285" s="211"/>
      <c r="AC285" s="211"/>
      <c r="AD285" s="211"/>
      <c r="AE285" s="211"/>
      <c r="AF285" s="211"/>
      <c r="AG285" s="211"/>
      <c r="AH285" s="211"/>
      <c r="AI285" s="211"/>
      <c r="AJ285" s="211"/>
      <c r="AK285" s="103"/>
    </row>
    <row r="286" customFormat="false" ht="7.45" hidden="false" customHeight="true" outlineLevel="0" collapsed="false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57"/>
      <c r="Q286" s="57"/>
      <c r="R286" s="57"/>
      <c r="S286" s="57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</row>
    <row r="287" customFormat="false" ht="12.8" hidden="false" customHeight="false" outlineLevel="0" collapsed="false">
      <c r="A287" s="103"/>
      <c r="B287" s="0" t="s">
        <v>572</v>
      </c>
      <c r="C287" s="103"/>
      <c r="D287" s="150" t="s">
        <v>660</v>
      </c>
      <c r="E287" s="150"/>
      <c r="F287" s="150"/>
      <c r="G287" s="150" t="s">
        <v>661</v>
      </c>
      <c r="H287" s="150"/>
      <c r="I287" s="150"/>
      <c r="J287" s="57" t="s">
        <v>722</v>
      </c>
      <c r="K287" s="57"/>
      <c r="L287" s="57"/>
      <c r="M287" s="109" t="s">
        <v>750</v>
      </c>
      <c r="N287" s="109"/>
      <c r="O287" s="109"/>
      <c r="P287" s="57"/>
      <c r="Q287" s="57"/>
      <c r="R287" s="57"/>
      <c r="S287" s="57"/>
      <c r="T287" s="103"/>
      <c r="U287" s="211" t="s">
        <v>698</v>
      </c>
      <c r="V287" s="211"/>
      <c r="W287" s="211"/>
      <c r="X287" s="211"/>
      <c r="Y287" s="211"/>
      <c r="Z287" s="211"/>
      <c r="AA287" s="211"/>
      <c r="AB287" s="211"/>
      <c r="AC287" s="211"/>
      <c r="AD287" s="211"/>
      <c r="AE287" s="211"/>
      <c r="AF287" s="211"/>
      <c r="AG287" s="211"/>
      <c r="AH287" s="211"/>
      <c r="AI287" s="211"/>
      <c r="AJ287" s="211"/>
      <c r="AK287" s="103"/>
    </row>
    <row r="288" customFormat="false" ht="12.8" hidden="false" customHeight="false" outlineLevel="0" collapsed="false">
      <c r="A288" s="103"/>
      <c r="C288" s="103"/>
      <c r="D288" s="57" t="s">
        <v>873</v>
      </c>
      <c r="E288" s="57"/>
      <c r="F288" s="57"/>
      <c r="G288" s="154" t="s">
        <v>873</v>
      </c>
      <c r="H288" s="154"/>
      <c r="I288" s="154"/>
      <c r="J288" s="182"/>
      <c r="K288" s="183"/>
      <c r="L288" s="184"/>
      <c r="M288" s="57" t="s">
        <v>888</v>
      </c>
      <c r="N288" s="57"/>
      <c r="O288" s="57"/>
      <c r="P288" s="57"/>
      <c r="Q288" s="57"/>
      <c r="R288" s="57"/>
      <c r="S288" s="57"/>
      <c r="T288" s="103"/>
      <c r="U288" s="211"/>
      <c r="V288" s="211"/>
      <c r="W288" s="211"/>
      <c r="X288" s="211"/>
      <c r="Y288" s="211"/>
      <c r="Z288" s="211"/>
      <c r="AA288" s="211"/>
      <c r="AB288" s="211"/>
      <c r="AC288" s="211"/>
      <c r="AD288" s="211"/>
      <c r="AE288" s="211"/>
      <c r="AF288" s="211"/>
      <c r="AG288" s="211"/>
      <c r="AH288" s="211"/>
      <c r="AI288" s="211"/>
      <c r="AJ288" s="211"/>
      <c r="AK288" s="103"/>
    </row>
    <row r="289" customFormat="false" ht="12.8" hidden="false" customHeight="false" outlineLevel="0" collapsed="false">
      <c r="A289" s="103"/>
      <c r="C289" s="103"/>
      <c r="D289" s="57" t="s">
        <v>876</v>
      </c>
      <c r="E289" s="57"/>
      <c r="F289" s="57"/>
      <c r="G289" s="154" t="s">
        <v>876</v>
      </c>
      <c r="H289" s="154"/>
      <c r="I289" s="154"/>
      <c r="J289" s="212"/>
      <c r="L289" s="127"/>
      <c r="M289" s="57"/>
      <c r="N289" s="57"/>
      <c r="O289" s="57"/>
      <c r="P289" s="57"/>
      <c r="Q289" s="57"/>
      <c r="R289" s="57"/>
      <c r="S289" s="57"/>
      <c r="T289" s="103"/>
      <c r="U289" s="211"/>
      <c r="V289" s="211"/>
      <c r="W289" s="211"/>
      <c r="X289" s="211"/>
      <c r="Y289" s="211"/>
      <c r="Z289" s="211"/>
      <c r="AA289" s="211"/>
      <c r="AB289" s="211"/>
      <c r="AC289" s="211"/>
      <c r="AD289" s="211"/>
      <c r="AE289" s="211"/>
      <c r="AF289" s="211"/>
      <c r="AG289" s="211"/>
      <c r="AH289" s="211"/>
      <c r="AI289" s="211"/>
      <c r="AJ289" s="211"/>
      <c r="AK289" s="103"/>
    </row>
    <row r="290" customFormat="false" ht="12.8" hidden="false" customHeight="false" outlineLevel="0" collapsed="false">
      <c r="A290" s="103"/>
      <c r="C290" s="103"/>
      <c r="D290" s="57"/>
      <c r="E290" s="57"/>
      <c r="F290" s="57"/>
      <c r="G290" s="154"/>
      <c r="H290" s="154"/>
      <c r="I290" s="154"/>
      <c r="J290" s="189"/>
      <c r="K290" s="190"/>
      <c r="L290" s="191"/>
      <c r="M290" s="57"/>
      <c r="N290" s="57"/>
      <c r="O290" s="57"/>
      <c r="P290" s="57"/>
      <c r="Q290" s="57"/>
      <c r="R290" s="57"/>
      <c r="S290" s="57"/>
      <c r="T290" s="103"/>
      <c r="U290" s="211"/>
      <c r="V290" s="211"/>
      <c r="W290" s="211"/>
      <c r="X290" s="211"/>
      <c r="Y290" s="211"/>
      <c r="Z290" s="211"/>
      <c r="AA290" s="211"/>
      <c r="AB290" s="211"/>
      <c r="AC290" s="211"/>
      <c r="AD290" s="211"/>
      <c r="AE290" s="211"/>
      <c r="AF290" s="211"/>
      <c r="AG290" s="211"/>
      <c r="AH290" s="211"/>
      <c r="AI290" s="211"/>
      <c r="AJ290" s="211"/>
      <c r="AK290" s="103"/>
    </row>
    <row r="291" customFormat="false" ht="7.45" hidden="false" customHeight="true" outlineLevel="0" collapsed="false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</row>
    <row r="292" customFormat="false" ht="12.8" hidden="false" customHeight="true" outlineLevel="0" collapsed="false">
      <c r="A292" s="103"/>
      <c r="B292" s="0" t="s">
        <v>420</v>
      </c>
      <c r="C292" s="103"/>
      <c r="D292" s="57" t="s">
        <v>722</v>
      </c>
      <c r="E292" s="57"/>
      <c r="F292" s="57"/>
      <c r="G292" s="57" t="s">
        <v>889</v>
      </c>
      <c r="H292" s="57"/>
      <c r="I292" s="57"/>
      <c r="J292" s="57"/>
      <c r="K292" s="57"/>
      <c r="L292" s="57" t="s">
        <v>707</v>
      </c>
      <c r="M292" s="57"/>
      <c r="N292" s="109" t="s">
        <v>750</v>
      </c>
      <c r="O292" s="109"/>
      <c r="P292" s="57" t="s">
        <v>890</v>
      </c>
      <c r="Q292" s="57"/>
      <c r="R292" s="57"/>
      <c r="S292" s="57"/>
      <c r="T292" s="103"/>
      <c r="U292" s="211" t="s">
        <v>698</v>
      </c>
      <c r="V292" s="211"/>
      <c r="W292" s="211"/>
      <c r="X292" s="211"/>
      <c r="Y292" s="211"/>
      <c r="Z292" s="211"/>
      <c r="AA292" s="211"/>
      <c r="AB292" s="211"/>
      <c r="AC292" s="211"/>
      <c r="AD292" s="211"/>
      <c r="AE292" s="211"/>
      <c r="AF292" s="211"/>
      <c r="AG292" s="211"/>
      <c r="AH292" s="211"/>
      <c r="AI292" s="211"/>
      <c r="AJ292" s="211"/>
      <c r="AK292" s="103"/>
    </row>
    <row r="293" customFormat="false" ht="12.8" hidden="false" customHeight="true" outlineLevel="0" collapsed="false">
      <c r="A293" s="103"/>
      <c r="B293" s="0" t="s">
        <v>426</v>
      </c>
      <c r="C293" s="103"/>
      <c r="D293" s="182"/>
      <c r="E293" s="183"/>
      <c r="F293" s="183"/>
      <c r="G293" s="183"/>
      <c r="H293" s="183"/>
      <c r="I293" s="183"/>
      <c r="J293" s="183"/>
      <c r="K293" s="184"/>
      <c r="L293" s="179" t="s">
        <v>891</v>
      </c>
      <c r="M293" s="179"/>
      <c r="N293" s="125" t="s">
        <v>892</v>
      </c>
      <c r="O293" s="125"/>
      <c r="P293" s="57"/>
      <c r="Q293" s="57"/>
      <c r="R293" s="57"/>
      <c r="S293" s="57"/>
      <c r="T293" s="103"/>
      <c r="U293" s="211"/>
      <c r="V293" s="211"/>
      <c r="W293" s="211"/>
      <c r="X293" s="211"/>
      <c r="Y293" s="211"/>
      <c r="Z293" s="211"/>
      <c r="AA293" s="211"/>
      <c r="AB293" s="211"/>
      <c r="AC293" s="211"/>
      <c r="AD293" s="211"/>
      <c r="AE293" s="211"/>
      <c r="AF293" s="211"/>
      <c r="AG293" s="211"/>
      <c r="AH293" s="211"/>
      <c r="AI293" s="211"/>
      <c r="AJ293" s="211"/>
      <c r="AK293" s="103"/>
    </row>
    <row r="294" customFormat="false" ht="12.8" hidden="false" customHeight="false" outlineLevel="0" collapsed="false">
      <c r="A294" s="103"/>
      <c r="C294" s="103"/>
      <c r="D294" s="189"/>
      <c r="E294" s="190"/>
      <c r="F294" s="190"/>
      <c r="G294" s="190"/>
      <c r="H294" s="190"/>
      <c r="I294" s="190"/>
      <c r="J294" s="190"/>
      <c r="K294" s="191"/>
      <c r="L294" s="215" t="s">
        <v>893</v>
      </c>
      <c r="M294" s="215"/>
      <c r="N294" s="125"/>
      <c r="O294" s="125"/>
      <c r="P294" s="57"/>
      <c r="Q294" s="57"/>
      <c r="R294" s="57"/>
      <c r="S294" s="57"/>
      <c r="T294" s="103"/>
      <c r="U294" s="211"/>
      <c r="V294" s="211"/>
      <c r="W294" s="211"/>
      <c r="X294" s="211"/>
      <c r="Y294" s="211"/>
      <c r="Z294" s="211"/>
      <c r="AA294" s="211"/>
      <c r="AB294" s="211"/>
      <c r="AC294" s="211"/>
      <c r="AD294" s="211"/>
      <c r="AE294" s="211"/>
      <c r="AF294" s="211"/>
      <c r="AG294" s="211"/>
      <c r="AH294" s="211"/>
      <c r="AI294" s="211"/>
      <c r="AJ294" s="211"/>
      <c r="AK294" s="103"/>
    </row>
    <row r="295" customFormat="false" ht="7.45" hidden="false" customHeight="true" outlineLevel="0" collapsed="false">
      <c r="A295" s="103"/>
      <c r="B295" s="103"/>
      <c r="C295" s="103"/>
      <c r="D295" s="103"/>
      <c r="E295" s="103"/>
      <c r="F295" s="103"/>
      <c r="G295" s="103"/>
      <c r="H295" s="103"/>
      <c r="I295" s="103"/>
      <c r="J295" s="112"/>
      <c r="K295" s="103"/>
      <c r="L295" s="103"/>
      <c r="M295" s="103"/>
      <c r="N295" s="125"/>
      <c r="O295" s="125"/>
      <c r="P295" s="57"/>
      <c r="Q295" s="57"/>
      <c r="R295" s="57"/>
      <c r="S295" s="57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</row>
    <row r="296" customFormat="false" ht="12.8" hidden="false" customHeight="false" outlineLevel="0" collapsed="false">
      <c r="A296" s="103"/>
      <c r="B296" s="0" t="s">
        <v>431</v>
      </c>
      <c r="C296" s="103"/>
      <c r="D296" s="150" t="s">
        <v>660</v>
      </c>
      <c r="E296" s="150"/>
      <c r="F296" s="150"/>
      <c r="G296" s="57" t="s">
        <v>808</v>
      </c>
      <c r="H296" s="57"/>
      <c r="I296" s="150" t="s">
        <v>661</v>
      </c>
      <c r="J296" s="150"/>
      <c r="K296" s="150"/>
      <c r="L296" s="57" t="s">
        <v>707</v>
      </c>
      <c r="M296" s="57"/>
      <c r="N296" s="125"/>
      <c r="O296" s="125"/>
      <c r="P296" s="57"/>
      <c r="Q296" s="57"/>
      <c r="R296" s="57"/>
      <c r="S296" s="57"/>
      <c r="T296" s="103"/>
      <c r="U296" s="211" t="s">
        <v>698</v>
      </c>
      <c r="V296" s="211"/>
      <c r="W296" s="211"/>
      <c r="X296" s="211"/>
      <c r="Y296" s="211"/>
      <c r="Z296" s="211"/>
      <c r="AA296" s="211"/>
      <c r="AB296" s="211"/>
      <c r="AC296" s="211"/>
      <c r="AD296" s="211"/>
      <c r="AE296" s="211"/>
      <c r="AF296" s="211"/>
      <c r="AG296" s="211"/>
      <c r="AH296" s="211"/>
      <c r="AI296" s="211"/>
      <c r="AJ296" s="211"/>
      <c r="AK296" s="103"/>
    </row>
    <row r="297" customFormat="false" ht="12.8" hidden="false" customHeight="false" outlineLevel="0" collapsed="false">
      <c r="A297" s="103"/>
      <c r="B297" s="0" t="s">
        <v>434</v>
      </c>
      <c r="C297" s="103"/>
      <c r="D297" s="57" t="s">
        <v>668</v>
      </c>
      <c r="E297" s="57"/>
      <c r="F297" s="57"/>
      <c r="G297" s="182"/>
      <c r="H297" s="184"/>
      <c r="I297" s="154" t="s">
        <v>668</v>
      </c>
      <c r="J297" s="154"/>
      <c r="K297" s="154"/>
      <c r="L297" s="179" t="s">
        <v>894</v>
      </c>
      <c r="M297" s="179"/>
      <c r="N297" s="125"/>
      <c r="O297" s="125"/>
      <c r="P297" s="57"/>
      <c r="Q297" s="57"/>
      <c r="R297" s="57"/>
      <c r="S297" s="57"/>
      <c r="T297" s="103"/>
      <c r="U297" s="211"/>
      <c r="V297" s="211"/>
      <c r="W297" s="211"/>
      <c r="X297" s="211"/>
      <c r="Y297" s="211"/>
      <c r="Z297" s="211"/>
      <c r="AA297" s="211"/>
      <c r="AB297" s="211"/>
      <c r="AC297" s="211"/>
      <c r="AD297" s="211"/>
      <c r="AE297" s="211"/>
      <c r="AF297" s="211"/>
      <c r="AG297" s="211"/>
      <c r="AH297" s="211"/>
      <c r="AI297" s="211"/>
      <c r="AJ297" s="211"/>
      <c r="AK297" s="103"/>
    </row>
    <row r="298" customFormat="false" ht="12.8" hidden="false" customHeight="false" outlineLevel="0" collapsed="false">
      <c r="A298" s="103"/>
      <c r="C298" s="103"/>
      <c r="D298" s="57"/>
      <c r="E298" s="57"/>
      <c r="F298" s="57"/>
      <c r="G298" s="189"/>
      <c r="H298" s="191"/>
      <c r="I298" s="154"/>
      <c r="J298" s="154"/>
      <c r="K298" s="154"/>
      <c r="L298" s="215" t="s">
        <v>895</v>
      </c>
      <c r="M298" s="215"/>
      <c r="N298" s="125"/>
      <c r="O298" s="125"/>
      <c r="P298" s="57"/>
      <c r="Q298" s="57"/>
      <c r="R298" s="57"/>
      <c r="S298" s="57"/>
      <c r="T298" s="103"/>
      <c r="U298" s="211"/>
      <c r="V298" s="211"/>
      <c r="W298" s="211"/>
      <c r="X298" s="211"/>
      <c r="Y298" s="211"/>
      <c r="Z298" s="211"/>
      <c r="AA298" s="211"/>
      <c r="AB298" s="211"/>
      <c r="AC298" s="211"/>
      <c r="AD298" s="211"/>
      <c r="AE298" s="211"/>
      <c r="AF298" s="211"/>
      <c r="AG298" s="211"/>
      <c r="AH298" s="211"/>
      <c r="AI298" s="211"/>
      <c r="AJ298" s="211"/>
      <c r="AK298" s="103"/>
    </row>
    <row r="299" customFormat="false" ht="7.45" hidden="false" customHeight="true" outlineLevel="0" collapsed="false">
      <c r="A299" s="103"/>
      <c r="B299" s="103"/>
      <c r="C299" s="103"/>
      <c r="D299" s="103"/>
      <c r="E299" s="103"/>
      <c r="F299" s="103"/>
      <c r="G299" s="103"/>
      <c r="H299" s="103"/>
      <c r="I299" s="103"/>
      <c r="J299" s="112"/>
      <c r="K299" s="103"/>
      <c r="L299" s="103"/>
      <c r="M299" s="103"/>
      <c r="N299" s="103"/>
      <c r="O299" s="103"/>
      <c r="P299" s="57"/>
      <c r="Q299" s="57"/>
      <c r="R299" s="57"/>
      <c r="S299" s="57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</row>
    <row r="300" customFormat="false" ht="12.8" hidden="false" customHeight="false" outlineLevel="0" collapsed="false">
      <c r="A300" s="103"/>
      <c r="B300" s="0" t="s">
        <v>438</v>
      </c>
      <c r="C300" s="103"/>
      <c r="D300" s="150" t="s">
        <v>733</v>
      </c>
      <c r="E300" s="150"/>
      <c r="F300" s="150"/>
      <c r="G300" s="150" t="s">
        <v>875</v>
      </c>
      <c r="H300" s="150"/>
      <c r="I300" s="150"/>
      <c r="J300" s="80" t="s">
        <v>896</v>
      </c>
      <c r="K300" s="57" t="s">
        <v>710</v>
      </c>
      <c r="L300" s="57" t="s">
        <v>707</v>
      </c>
      <c r="M300" s="57"/>
      <c r="N300" s="109" t="s">
        <v>750</v>
      </c>
      <c r="O300" s="109"/>
      <c r="P300" s="57"/>
      <c r="Q300" s="57"/>
      <c r="R300" s="57"/>
      <c r="S300" s="57"/>
      <c r="T300" s="103"/>
      <c r="U300" s="211" t="s">
        <v>698</v>
      </c>
      <c r="V300" s="211"/>
      <c r="W300" s="211"/>
      <c r="X300" s="211"/>
      <c r="Y300" s="211"/>
      <c r="Z300" s="211"/>
      <c r="AA300" s="211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103"/>
    </row>
    <row r="301" customFormat="false" ht="12.8" hidden="false" customHeight="false" outlineLevel="0" collapsed="false">
      <c r="A301" s="103"/>
      <c r="B301" s="0" t="s">
        <v>443</v>
      </c>
      <c r="C301" s="103"/>
      <c r="D301" s="57" t="s">
        <v>668</v>
      </c>
      <c r="E301" s="57"/>
      <c r="F301" s="57"/>
      <c r="G301" s="154" t="s">
        <v>668</v>
      </c>
      <c r="H301" s="154"/>
      <c r="I301" s="154"/>
      <c r="J301" s="93" t="s">
        <v>897</v>
      </c>
      <c r="K301" s="93" t="s">
        <v>898</v>
      </c>
      <c r="L301" s="179" t="s">
        <v>899</v>
      </c>
      <c r="M301" s="179"/>
      <c r="N301" s="57" t="s">
        <v>900</v>
      </c>
      <c r="O301" s="57"/>
      <c r="P301" s="57"/>
      <c r="Q301" s="57"/>
      <c r="R301" s="57"/>
      <c r="S301" s="57"/>
      <c r="T301" s="103"/>
      <c r="U301" s="211"/>
      <c r="V301" s="211"/>
      <c r="W301" s="211"/>
      <c r="X301" s="211"/>
      <c r="Y301" s="211"/>
      <c r="Z301" s="211"/>
      <c r="AA301" s="211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103"/>
    </row>
    <row r="302" customFormat="false" ht="12.8" hidden="false" customHeight="false" outlineLevel="0" collapsed="false">
      <c r="A302" s="103"/>
      <c r="B302" s="0" t="s">
        <v>447</v>
      </c>
      <c r="C302" s="103"/>
      <c r="D302" s="57"/>
      <c r="E302" s="57"/>
      <c r="F302" s="57"/>
      <c r="G302" s="154"/>
      <c r="H302" s="154"/>
      <c r="I302" s="154"/>
      <c r="J302" s="95" t="s">
        <v>807</v>
      </c>
      <c r="K302" s="95" t="s">
        <v>901</v>
      </c>
      <c r="L302" s="222" t="s">
        <v>902</v>
      </c>
      <c r="M302" s="222"/>
      <c r="N302" s="57"/>
      <c r="O302" s="57"/>
      <c r="P302" s="57"/>
      <c r="Q302" s="57"/>
      <c r="R302" s="57"/>
      <c r="S302" s="57"/>
      <c r="T302" s="103"/>
      <c r="U302" s="211"/>
      <c r="V302" s="211"/>
      <c r="W302" s="211"/>
      <c r="X302" s="211"/>
      <c r="Y302" s="211"/>
      <c r="Z302" s="211"/>
      <c r="AA302" s="211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103"/>
    </row>
    <row r="303" customFormat="false" ht="12.8" hidden="false" customHeight="false" outlineLevel="0" collapsed="false">
      <c r="A303" s="103"/>
      <c r="B303" s="0" t="s">
        <v>451</v>
      </c>
      <c r="C303" s="103"/>
      <c r="D303" s="57"/>
      <c r="E303" s="57"/>
      <c r="F303" s="57"/>
      <c r="G303" s="154"/>
      <c r="H303" s="154"/>
      <c r="I303" s="154"/>
      <c r="J303" s="95"/>
      <c r="K303" s="95"/>
      <c r="L303" s="170" t="s">
        <v>903</v>
      </c>
      <c r="M303" s="170"/>
      <c r="N303" s="57"/>
      <c r="O303" s="57"/>
      <c r="P303" s="57"/>
      <c r="Q303" s="57"/>
      <c r="R303" s="57"/>
      <c r="S303" s="57"/>
      <c r="T303" s="103"/>
      <c r="U303" s="211"/>
      <c r="V303" s="211"/>
      <c r="W303" s="211"/>
      <c r="X303" s="211"/>
      <c r="Y303" s="211"/>
      <c r="Z303" s="211"/>
      <c r="AA303" s="211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103"/>
    </row>
    <row r="304" customFormat="false" ht="12.8" hidden="false" customHeight="false" outlineLevel="0" collapsed="false">
      <c r="A304" s="103"/>
      <c r="B304" s="0" t="s">
        <v>455</v>
      </c>
      <c r="C304" s="103"/>
      <c r="D304" s="57"/>
      <c r="E304" s="57"/>
      <c r="F304" s="57"/>
      <c r="G304" s="154"/>
      <c r="H304" s="154"/>
      <c r="I304" s="154"/>
      <c r="J304" s="95"/>
      <c r="K304" s="95"/>
      <c r="L304" s="170" t="s">
        <v>904</v>
      </c>
      <c r="M304" s="170"/>
      <c r="N304" s="57"/>
      <c r="O304" s="57"/>
      <c r="P304" s="57"/>
      <c r="Q304" s="57"/>
      <c r="R304" s="57"/>
      <c r="S304" s="57"/>
      <c r="T304" s="103"/>
      <c r="U304" s="211"/>
      <c r="V304" s="211"/>
      <c r="W304" s="211"/>
      <c r="X304" s="211"/>
      <c r="Y304" s="211"/>
      <c r="Z304" s="211"/>
      <c r="AA304" s="211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103"/>
    </row>
    <row r="305" customFormat="false" ht="12.8" hidden="false" customHeight="false" outlineLevel="0" collapsed="false">
      <c r="A305" s="103"/>
      <c r="B305" s="0" t="s">
        <v>459</v>
      </c>
      <c r="C305" s="103"/>
      <c r="D305" s="57"/>
      <c r="E305" s="57"/>
      <c r="F305" s="57"/>
      <c r="G305" s="154"/>
      <c r="H305" s="154"/>
      <c r="I305" s="154"/>
      <c r="J305" s="94"/>
      <c r="K305" s="94"/>
      <c r="L305" s="215"/>
      <c r="M305" s="215"/>
      <c r="N305" s="57"/>
      <c r="O305" s="57"/>
      <c r="P305" s="57"/>
      <c r="Q305" s="57"/>
      <c r="R305" s="57"/>
      <c r="S305" s="57"/>
      <c r="T305" s="103"/>
      <c r="U305" s="211"/>
      <c r="V305" s="211"/>
      <c r="W305" s="211"/>
      <c r="X305" s="211"/>
      <c r="Y305" s="211"/>
      <c r="Z305" s="211"/>
      <c r="AA305" s="211"/>
      <c r="AB305" s="211"/>
      <c r="AC305" s="211"/>
      <c r="AD305" s="211"/>
      <c r="AE305" s="211"/>
      <c r="AF305" s="211"/>
      <c r="AG305" s="211"/>
      <c r="AH305" s="211"/>
      <c r="AI305" s="211"/>
      <c r="AJ305" s="211"/>
      <c r="AK305" s="103"/>
    </row>
    <row r="306" customFormat="false" ht="7.45" hidden="false" customHeight="true" outlineLevel="0" collapsed="false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12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</row>
    <row r="307" customFormat="false" ht="12.8" hidden="false" customHeight="false" outlineLevel="0" collapsed="false">
      <c r="A307" s="103"/>
      <c r="B307" s="0" t="s">
        <v>463</v>
      </c>
      <c r="C307" s="103"/>
      <c r="D307" s="80" t="s">
        <v>905</v>
      </c>
      <c r="E307" s="80" t="s">
        <v>906</v>
      </c>
      <c r="F307" s="57" t="s">
        <v>907</v>
      </c>
      <c r="G307" s="57"/>
      <c r="H307" s="109" t="s">
        <v>733</v>
      </c>
      <c r="I307" s="109"/>
      <c r="J307" s="109"/>
      <c r="K307" s="57" t="s">
        <v>707</v>
      </c>
      <c r="L307" s="57"/>
      <c r="M307" s="57"/>
      <c r="N307" s="57"/>
      <c r="O307" s="109" t="s">
        <v>750</v>
      </c>
      <c r="P307" s="57" t="s">
        <v>908</v>
      </c>
      <c r="Q307" s="57"/>
      <c r="R307" s="57"/>
      <c r="S307" s="57"/>
      <c r="T307" s="103"/>
      <c r="U307" s="211" t="s">
        <v>698</v>
      </c>
      <c r="V307" s="211"/>
      <c r="W307" s="211"/>
      <c r="X307" s="211"/>
      <c r="Y307" s="211"/>
      <c r="Z307" s="211"/>
      <c r="AA307" s="211"/>
      <c r="AB307" s="211"/>
      <c r="AC307" s="211"/>
      <c r="AD307" s="211"/>
      <c r="AE307" s="211"/>
      <c r="AF307" s="211"/>
      <c r="AG307" s="211"/>
      <c r="AH307" s="211"/>
      <c r="AI307" s="211"/>
      <c r="AJ307" s="211"/>
      <c r="AK307" s="103"/>
    </row>
    <row r="308" customFormat="false" ht="12.8" hidden="false" customHeight="false" outlineLevel="0" collapsed="false">
      <c r="A308" s="103"/>
      <c r="B308" s="0" t="s">
        <v>468</v>
      </c>
      <c r="C308" s="103"/>
      <c r="D308" s="93" t="s">
        <v>897</v>
      </c>
      <c r="E308" s="223" t="s">
        <v>909</v>
      </c>
      <c r="F308" s="224" t="s">
        <v>910</v>
      </c>
      <c r="G308" s="224"/>
      <c r="H308" s="57" t="s">
        <v>1314</v>
      </c>
      <c r="I308" s="57"/>
      <c r="J308" s="57"/>
      <c r="K308" s="225" t="s">
        <v>911</v>
      </c>
      <c r="L308" s="225"/>
      <c r="M308" s="225"/>
      <c r="N308" s="184"/>
      <c r="O308" s="57" t="s">
        <v>912</v>
      </c>
      <c r="P308" s="57"/>
      <c r="Q308" s="57"/>
      <c r="R308" s="57"/>
      <c r="S308" s="57"/>
      <c r="T308" s="103"/>
      <c r="U308" s="211"/>
      <c r="V308" s="211"/>
      <c r="W308" s="211"/>
      <c r="X308" s="211"/>
      <c r="Y308" s="211"/>
      <c r="Z308" s="211"/>
      <c r="AA308" s="211"/>
      <c r="AB308" s="211"/>
      <c r="AC308" s="211"/>
      <c r="AD308" s="211"/>
      <c r="AE308" s="211"/>
      <c r="AF308" s="211"/>
      <c r="AG308" s="211"/>
      <c r="AH308" s="211"/>
      <c r="AI308" s="211"/>
      <c r="AJ308" s="211"/>
      <c r="AK308" s="103"/>
    </row>
    <row r="309" customFormat="false" ht="12.8" hidden="false" customHeight="false" outlineLevel="0" collapsed="false">
      <c r="A309" s="103"/>
      <c r="B309" s="0" t="s">
        <v>473</v>
      </c>
      <c r="C309" s="103"/>
      <c r="D309" s="95" t="s">
        <v>807</v>
      </c>
      <c r="E309" s="226" t="s">
        <v>913</v>
      </c>
      <c r="F309" s="227" t="s">
        <v>914</v>
      </c>
      <c r="G309" s="227"/>
      <c r="H309" s="57"/>
      <c r="I309" s="57"/>
      <c r="J309" s="57"/>
      <c r="K309" s="228" t="s">
        <v>915</v>
      </c>
      <c r="L309" s="228"/>
      <c r="M309" s="228"/>
      <c r="N309" s="127"/>
      <c r="O309" s="57"/>
      <c r="P309" s="57"/>
      <c r="Q309" s="57"/>
      <c r="R309" s="57"/>
      <c r="S309" s="57"/>
      <c r="T309" s="103"/>
      <c r="U309" s="211"/>
      <c r="V309" s="211"/>
      <c r="W309" s="211"/>
      <c r="X309" s="211"/>
      <c r="Y309" s="211"/>
      <c r="Z309" s="211"/>
      <c r="AA309" s="211"/>
      <c r="AB309" s="211"/>
      <c r="AC309" s="211"/>
      <c r="AD309" s="211"/>
      <c r="AE309" s="211"/>
      <c r="AF309" s="211"/>
      <c r="AG309" s="211"/>
      <c r="AH309" s="211"/>
      <c r="AI309" s="211"/>
      <c r="AJ309" s="211"/>
      <c r="AK309" s="103"/>
    </row>
    <row r="310" customFormat="false" ht="12.8" hidden="false" customHeight="false" outlineLevel="0" collapsed="false">
      <c r="A310" s="103"/>
      <c r="B310" s="0" t="s">
        <v>477</v>
      </c>
      <c r="C310" s="103"/>
      <c r="D310" s="95"/>
      <c r="E310" s="95"/>
      <c r="F310" s="227" t="s">
        <v>916</v>
      </c>
      <c r="G310" s="227"/>
      <c r="H310" s="57"/>
      <c r="I310" s="57"/>
      <c r="J310" s="57"/>
      <c r="K310" s="228" t="s">
        <v>917</v>
      </c>
      <c r="L310" s="228"/>
      <c r="M310" s="228"/>
      <c r="N310" s="127"/>
      <c r="O310" s="57"/>
      <c r="P310" s="57"/>
      <c r="Q310" s="57"/>
      <c r="R310" s="57"/>
      <c r="S310" s="57"/>
      <c r="T310" s="103"/>
      <c r="U310" s="211"/>
      <c r="V310" s="211"/>
      <c r="W310" s="211"/>
      <c r="X310" s="211"/>
      <c r="Y310" s="211"/>
      <c r="Z310" s="211"/>
      <c r="AA310" s="211"/>
      <c r="AB310" s="211"/>
      <c r="AC310" s="211"/>
      <c r="AD310" s="211"/>
      <c r="AE310" s="211"/>
      <c r="AF310" s="211"/>
      <c r="AG310" s="211"/>
      <c r="AH310" s="211"/>
      <c r="AI310" s="211"/>
      <c r="AJ310" s="211"/>
      <c r="AK310" s="103"/>
    </row>
    <row r="311" customFormat="false" ht="12.8" hidden="false" customHeight="false" outlineLevel="0" collapsed="false">
      <c r="A311" s="103"/>
      <c r="B311" s="0" t="s">
        <v>480</v>
      </c>
      <c r="C311" s="103"/>
      <c r="D311" s="95"/>
      <c r="E311" s="95"/>
      <c r="F311" s="227" t="s">
        <v>918</v>
      </c>
      <c r="G311" s="227"/>
      <c r="H311" s="57"/>
      <c r="I311" s="57"/>
      <c r="J311" s="57"/>
      <c r="K311" s="228" t="s">
        <v>919</v>
      </c>
      <c r="L311" s="228"/>
      <c r="M311" s="228"/>
      <c r="N311" s="127"/>
      <c r="O311" s="57"/>
      <c r="P311" s="57"/>
      <c r="Q311" s="57"/>
      <c r="R311" s="57"/>
      <c r="S311" s="57"/>
      <c r="T311" s="103"/>
      <c r="U311" s="211"/>
      <c r="V311" s="211"/>
      <c r="W311" s="211"/>
      <c r="X311" s="211"/>
      <c r="Y311" s="211"/>
      <c r="Z311" s="211"/>
      <c r="AA311" s="211"/>
      <c r="AB311" s="211"/>
      <c r="AC311" s="211"/>
      <c r="AD311" s="211"/>
      <c r="AE311" s="211"/>
      <c r="AF311" s="211"/>
      <c r="AG311" s="211"/>
      <c r="AH311" s="211"/>
      <c r="AI311" s="211"/>
      <c r="AJ311" s="211"/>
      <c r="AK311" s="103"/>
    </row>
    <row r="312" customFormat="false" ht="12.8" hidden="false" customHeight="false" outlineLevel="0" collapsed="false">
      <c r="A312" s="103"/>
      <c r="B312" s="0" t="s">
        <v>920</v>
      </c>
      <c r="C312" s="103"/>
      <c r="D312" s="95"/>
      <c r="E312" s="95"/>
      <c r="F312" s="229"/>
      <c r="G312" s="229"/>
      <c r="H312" s="57"/>
      <c r="I312" s="57"/>
      <c r="J312" s="57"/>
      <c r="K312" s="228" t="s">
        <v>921</v>
      </c>
      <c r="L312" s="228"/>
      <c r="M312" s="228"/>
      <c r="N312" s="127"/>
      <c r="O312" s="57"/>
      <c r="P312" s="57"/>
      <c r="Q312" s="57"/>
      <c r="R312" s="57"/>
      <c r="S312" s="57"/>
      <c r="T312" s="103"/>
      <c r="U312" s="211"/>
      <c r="V312" s="211"/>
      <c r="W312" s="211"/>
      <c r="X312" s="211"/>
      <c r="Y312" s="211"/>
      <c r="Z312" s="211"/>
      <c r="AA312" s="211"/>
      <c r="AB312" s="211"/>
      <c r="AC312" s="211"/>
      <c r="AD312" s="211"/>
      <c r="AE312" s="211"/>
      <c r="AF312" s="211"/>
      <c r="AG312" s="211"/>
      <c r="AH312" s="211"/>
      <c r="AI312" s="211"/>
      <c r="AJ312" s="211"/>
      <c r="AK312" s="103"/>
    </row>
    <row r="313" customFormat="false" ht="12.8" hidden="false" customHeight="false" outlineLevel="0" collapsed="false">
      <c r="A313" s="103"/>
      <c r="B313" s="0" t="s">
        <v>922</v>
      </c>
      <c r="C313" s="103"/>
      <c r="D313" s="95"/>
      <c r="E313" s="95"/>
      <c r="F313" s="229"/>
      <c r="G313" s="229"/>
      <c r="H313" s="57"/>
      <c r="I313" s="57"/>
      <c r="J313" s="57"/>
      <c r="K313" s="228" t="s">
        <v>923</v>
      </c>
      <c r="L313" s="228"/>
      <c r="M313" s="228"/>
      <c r="N313" s="127"/>
      <c r="O313" s="57"/>
      <c r="P313" s="57"/>
      <c r="Q313" s="57"/>
      <c r="R313" s="57"/>
      <c r="S313" s="57"/>
      <c r="T313" s="103"/>
      <c r="U313" s="211"/>
      <c r="V313" s="211"/>
      <c r="W313" s="211"/>
      <c r="X313" s="211"/>
      <c r="Y313" s="211"/>
      <c r="Z313" s="211"/>
      <c r="AA313" s="211"/>
      <c r="AB313" s="211"/>
      <c r="AC313" s="211"/>
      <c r="AD313" s="211"/>
      <c r="AE313" s="211"/>
      <c r="AF313" s="211"/>
      <c r="AG313" s="211"/>
      <c r="AH313" s="211"/>
      <c r="AI313" s="211"/>
      <c r="AJ313" s="211"/>
      <c r="AK313" s="103"/>
    </row>
    <row r="314" customFormat="false" ht="12.8" hidden="false" customHeight="false" outlineLevel="0" collapsed="false">
      <c r="A314" s="103"/>
      <c r="B314" s="0" t="s">
        <v>924</v>
      </c>
      <c r="C314" s="103"/>
      <c r="D314" s="95"/>
      <c r="E314" s="95"/>
      <c r="F314" s="229"/>
      <c r="G314" s="229"/>
      <c r="H314" s="57"/>
      <c r="I314" s="57"/>
      <c r="J314" s="57"/>
      <c r="K314" s="228" t="s">
        <v>1332</v>
      </c>
      <c r="L314" s="228"/>
      <c r="M314" s="228"/>
      <c r="N314" s="127"/>
      <c r="O314" s="57"/>
      <c r="P314" s="57"/>
      <c r="Q314" s="57"/>
      <c r="R314" s="57"/>
      <c r="S314" s="57"/>
      <c r="T314" s="103"/>
      <c r="U314" s="211"/>
      <c r="V314" s="211"/>
      <c r="W314" s="211"/>
      <c r="X314" s="211"/>
      <c r="Y314" s="211"/>
      <c r="Z314" s="211"/>
      <c r="AA314" s="211"/>
      <c r="AB314" s="211"/>
      <c r="AC314" s="211"/>
      <c r="AD314" s="211"/>
      <c r="AE314" s="211"/>
      <c r="AF314" s="211"/>
      <c r="AG314" s="211"/>
      <c r="AH314" s="211"/>
      <c r="AI314" s="211"/>
      <c r="AJ314" s="211"/>
      <c r="AK314" s="103"/>
    </row>
    <row r="315" customFormat="false" ht="12.8" hidden="false" customHeight="false" outlineLevel="0" collapsed="false">
      <c r="A315" s="103"/>
      <c r="C315" s="103"/>
      <c r="D315" s="95"/>
      <c r="E315" s="95"/>
      <c r="F315" s="229"/>
      <c r="G315" s="229"/>
      <c r="H315" s="57"/>
      <c r="I315" s="57"/>
      <c r="J315" s="57"/>
      <c r="K315" s="228" t="s">
        <v>1333</v>
      </c>
      <c r="L315" s="228"/>
      <c r="M315" s="228"/>
      <c r="N315" s="127"/>
      <c r="O315" s="57"/>
      <c r="P315" s="57"/>
      <c r="Q315" s="57"/>
      <c r="R315" s="57"/>
      <c r="S315" s="57"/>
      <c r="T315" s="103"/>
      <c r="U315" s="211"/>
      <c r="V315" s="211"/>
      <c r="W315" s="211"/>
      <c r="X315" s="211"/>
      <c r="Y315" s="211"/>
      <c r="Z315" s="211"/>
      <c r="AA315" s="211"/>
      <c r="AB315" s="211"/>
      <c r="AC315" s="211"/>
      <c r="AD315" s="211"/>
      <c r="AE315" s="211"/>
      <c r="AF315" s="211"/>
      <c r="AG315" s="211"/>
      <c r="AH315" s="211"/>
      <c r="AI315" s="211"/>
      <c r="AJ315" s="211"/>
      <c r="AK315" s="103"/>
    </row>
    <row r="316" customFormat="false" ht="12.8" hidden="false" customHeight="false" outlineLevel="0" collapsed="false">
      <c r="A316" s="103"/>
      <c r="C316" s="103"/>
      <c r="D316" s="95"/>
      <c r="E316" s="95"/>
      <c r="F316" s="229"/>
      <c r="G316" s="229"/>
      <c r="H316" s="57"/>
      <c r="I316" s="57"/>
      <c r="J316" s="57"/>
      <c r="K316" s="228" t="s">
        <v>1334</v>
      </c>
      <c r="L316" s="228"/>
      <c r="M316" s="228"/>
      <c r="N316" s="127"/>
      <c r="O316" s="57"/>
      <c r="P316" s="57"/>
      <c r="Q316" s="57"/>
      <c r="R316" s="57"/>
      <c r="S316" s="57"/>
      <c r="T316" s="103"/>
      <c r="U316" s="211"/>
      <c r="V316" s="211"/>
      <c r="W316" s="211"/>
      <c r="X316" s="211"/>
      <c r="Y316" s="211"/>
      <c r="Z316" s="211"/>
      <c r="AA316" s="211"/>
      <c r="AB316" s="211"/>
      <c r="AC316" s="211"/>
      <c r="AD316" s="211"/>
      <c r="AE316" s="211"/>
      <c r="AF316" s="211"/>
      <c r="AG316" s="211"/>
      <c r="AH316" s="211"/>
      <c r="AI316" s="211"/>
      <c r="AJ316" s="211"/>
      <c r="AK316" s="103"/>
    </row>
    <row r="317" customFormat="false" ht="12.8" hidden="false" customHeight="false" outlineLevel="0" collapsed="false">
      <c r="A317" s="103"/>
      <c r="C317" s="103"/>
      <c r="D317" s="95"/>
      <c r="E317" s="95"/>
      <c r="F317" s="229"/>
      <c r="G317" s="229"/>
      <c r="H317" s="57"/>
      <c r="I317" s="57"/>
      <c r="J317" s="57"/>
      <c r="K317" s="228" t="s">
        <v>1335</v>
      </c>
      <c r="L317" s="228"/>
      <c r="M317" s="228"/>
      <c r="N317" s="127"/>
      <c r="O317" s="57"/>
      <c r="P317" s="57"/>
      <c r="Q317" s="57"/>
      <c r="R317" s="57"/>
      <c r="S317" s="57"/>
      <c r="T317" s="103"/>
      <c r="U317" s="211"/>
      <c r="V317" s="211"/>
      <c r="W317" s="211"/>
      <c r="X317" s="211"/>
      <c r="Y317" s="211"/>
      <c r="Z317" s="211"/>
      <c r="AA317" s="211"/>
      <c r="AB317" s="211"/>
      <c r="AC317" s="211"/>
      <c r="AD317" s="211"/>
      <c r="AE317" s="211"/>
      <c r="AF317" s="211"/>
      <c r="AG317" s="211"/>
      <c r="AH317" s="211"/>
      <c r="AI317" s="211"/>
      <c r="AJ317" s="211"/>
      <c r="AK317" s="103"/>
    </row>
    <row r="318" customFormat="false" ht="12.8" hidden="false" customHeight="false" outlineLevel="0" collapsed="false">
      <c r="A318" s="103"/>
      <c r="C318" s="103"/>
      <c r="D318" s="95"/>
      <c r="E318" s="95"/>
      <c r="F318" s="229"/>
      <c r="G318" s="229"/>
      <c r="H318" s="57"/>
      <c r="I318" s="57"/>
      <c r="J318" s="57"/>
      <c r="K318" s="228" t="s">
        <v>1336</v>
      </c>
      <c r="L318" s="228"/>
      <c r="M318" s="228"/>
      <c r="N318" s="127"/>
      <c r="O318" s="57"/>
      <c r="P318" s="57"/>
      <c r="Q318" s="57"/>
      <c r="R318" s="57"/>
      <c r="S318" s="57"/>
      <c r="T318" s="103"/>
      <c r="U318" s="211"/>
      <c r="V318" s="211"/>
      <c r="W318" s="211"/>
      <c r="X318" s="211"/>
      <c r="Y318" s="211"/>
      <c r="Z318" s="211"/>
      <c r="AA318" s="211"/>
      <c r="AB318" s="211"/>
      <c r="AC318" s="211"/>
      <c r="AD318" s="211"/>
      <c r="AE318" s="211"/>
      <c r="AF318" s="211"/>
      <c r="AG318" s="211"/>
      <c r="AH318" s="211"/>
      <c r="AI318" s="211"/>
      <c r="AJ318" s="211"/>
      <c r="AK318" s="103"/>
    </row>
    <row r="319" customFormat="false" ht="12.8" hidden="false" customHeight="false" outlineLevel="0" collapsed="false">
      <c r="A319" s="103"/>
      <c r="C319" s="103"/>
      <c r="D319" s="95"/>
      <c r="E319" s="95"/>
      <c r="F319" s="229"/>
      <c r="G319" s="229"/>
      <c r="H319" s="57"/>
      <c r="I319" s="57"/>
      <c r="J319" s="57"/>
      <c r="K319" s="228" t="s">
        <v>1337</v>
      </c>
      <c r="L319" s="228"/>
      <c r="M319" s="228"/>
      <c r="N319" s="127"/>
      <c r="O319" s="57"/>
      <c r="P319" s="57"/>
      <c r="Q319" s="57"/>
      <c r="R319" s="57"/>
      <c r="S319" s="57"/>
      <c r="T319" s="103"/>
      <c r="U319" s="211"/>
      <c r="V319" s="211"/>
      <c r="W319" s="211"/>
      <c r="X319" s="211"/>
      <c r="Y319" s="211"/>
      <c r="Z319" s="211"/>
      <c r="AA319" s="211"/>
      <c r="AB319" s="211"/>
      <c r="AC319" s="211"/>
      <c r="AD319" s="211"/>
      <c r="AE319" s="211"/>
      <c r="AF319" s="211"/>
      <c r="AG319" s="211"/>
      <c r="AH319" s="211"/>
      <c r="AI319" s="211"/>
      <c r="AJ319" s="211"/>
      <c r="AK319" s="103"/>
    </row>
    <row r="320" customFormat="false" ht="12.8" hidden="false" customHeight="false" outlineLevel="0" collapsed="false">
      <c r="A320" s="103"/>
      <c r="C320" s="103"/>
      <c r="D320" s="95"/>
      <c r="E320" s="95"/>
      <c r="F320" s="229"/>
      <c r="G320" s="229"/>
      <c r="H320" s="57"/>
      <c r="I320" s="57"/>
      <c r="J320" s="57"/>
      <c r="K320" s="228" t="s">
        <v>931</v>
      </c>
      <c r="L320" s="228"/>
      <c r="M320" s="228"/>
      <c r="N320" s="127"/>
      <c r="O320" s="57"/>
      <c r="P320" s="57"/>
      <c r="Q320" s="57"/>
      <c r="R320" s="57"/>
      <c r="S320" s="57"/>
      <c r="T320" s="103"/>
      <c r="AK320" s="103"/>
    </row>
    <row r="321" customFormat="false" ht="12.8" hidden="false" customHeight="false" outlineLevel="0" collapsed="false">
      <c r="A321" s="103"/>
      <c r="C321" s="103"/>
      <c r="D321" s="95"/>
      <c r="E321" s="95"/>
      <c r="F321" s="229"/>
      <c r="G321" s="229"/>
      <c r="H321" s="57"/>
      <c r="I321" s="57"/>
      <c r="J321" s="57"/>
      <c r="K321" s="228" t="s">
        <v>932</v>
      </c>
      <c r="L321" s="228"/>
      <c r="M321" s="228"/>
      <c r="N321" s="127"/>
      <c r="O321" s="57"/>
      <c r="P321" s="57"/>
      <c r="Q321" s="57"/>
      <c r="R321" s="57"/>
      <c r="S321" s="57"/>
      <c r="T321" s="103"/>
      <c r="AK321" s="103"/>
    </row>
    <row r="322" customFormat="false" ht="12.8" hidden="false" customHeight="false" outlineLevel="0" collapsed="false">
      <c r="A322" s="103"/>
      <c r="C322" s="103"/>
      <c r="D322" s="95"/>
      <c r="E322" s="95"/>
      <c r="F322" s="229"/>
      <c r="G322" s="229"/>
      <c r="H322" s="57"/>
      <c r="I322" s="57"/>
      <c r="J322" s="57"/>
      <c r="K322" s="228" t="s">
        <v>933</v>
      </c>
      <c r="L322" s="228"/>
      <c r="M322" s="228"/>
      <c r="N322" s="127"/>
      <c r="O322" s="57"/>
      <c r="P322" s="57"/>
      <c r="Q322" s="57"/>
      <c r="R322" s="57"/>
      <c r="S322" s="57"/>
      <c r="T322" s="103"/>
      <c r="AK322" s="103"/>
    </row>
    <row r="323" customFormat="false" ht="12.8" hidden="false" customHeight="false" outlineLevel="0" collapsed="false">
      <c r="A323" s="103"/>
      <c r="C323" s="103"/>
      <c r="D323" s="94"/>
      <c r="E323" s="94"/>
      <c r="F323" s="230"/>
      <c r="G323" s="230"/>
      <c r="H323" s="57"/>
      <c r="I323" s="57"/>
      <c r="J323" s="57"/>
      <c r="K323" s="231" t="s">
        <v>934</v>
      </c>
      <c r="L323" s="231"/>
      <c r="M323" s="231"/>
      <c r="N323" s="191"/>
      <c r="O323" s="57"/>
      <c r="P323" s="57"/>
      <c r="Q323" s="57"/>
      <c r="R323" s="57"/>
      <c r="S323" s="57"/>
      <c r="T323" s="103"/>
      <c r="AK323" s="103"/>
    </row>
    <row r="324" customFormat="false" ht="7.45" hidden="false" customHeight="true" outlineLevel="0" collapsed="false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57"/>
      <c r="Q324" s="57"/>
      <c r="R324" s="57"/>
      <c r="S324" s="57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</row>
    <row r="325" customFormat="false" ht="12.8" hidden="false" customHeight="false" outlineLevel="0" collapsed="false">
      <c r="A325" s="103"/>
      <c r="B325" s="0" t="s">
        <v>511</v>
      </c>
      <c r="C325" s="103"/>
      <c r="D325" s="80" t="s">
        <v>905</v>
      </c>
      <c r="E325" s="80" t="s">
        <v>906</v>
      </c>
      <c r="F325" s="57" t="s">
        <v>907</v>
      </c>
      <c r="G325" s="57"/>
      <c r="H325" s="80" t="s">
        <v>935</v>
      </c>
      <c r="I325" s="57" t="s">
        <v>936</v>
      </c>
      <c r="J325" s="57"/>
      <c r="K325" s="57" t="s">
        <v>707</v>
      </c>
      <c r="L325" s="57"/>
      <c r="M325" s="57"/>
      <c r="N325" s="57"/>
      <c r="O325" s="109" t="s">
        <v>750</v>
      </c>
      <c r="P325" s="57"/>
      <c r="Q325" s="57"/>
      <c r="R325" s="57"/>
      <c r="S325" s="57"/>
      <c r="T325" s="103"/>
      <c r="U325" s="211" t="s">
        <v>698</v>
      </c>
      <c r="V325" s="211"/>
      <c r="W325" s="211"/>
      <c r="X325" s="211"/>
      <c r="Y325" s="211"/>
      <c r="Z325" s="211"/>
      <c r="AA325" s="211"/>
      <c r="AB325" s="211"/>
      <c r="AC325" s="211"/>
      <c r="AD325" s="211"/>
      <c r="AE325" s="211"/>
      <c r="AF325" s="211"/>
      <c r="AG325" s="211"/>
      <c r="AH325" s="211"/>
      <c r="AI325" s="211"/>
      <c r="AJ325" s="211"/>
      <c r="AK325" s="103"/>
    </row>
    <row r="326" customFormat="false" ht="12.8" hidden="false" customHeight="false" outlineLevel="0" collapsed="false">
      <c r="A326" s="103"/>
      <c r="B326" s="0" t="s">
        <v>515</v>
      </c>
      <c r="C326" s="103"/>
      <c r="D326" s="93" t="s">
        <v>897</v>
      </c>
      <c r="E326" s="232" t="s">
        <v>909</v>
      </c>
      <c r="F326" s="224" t="s">
        <v>910</v>
      </c>
      <c r="G326" s="224"/>
      <c r="H326" s="93" t="s">
        <v>897</v>
      </c>
      <c r="I326" s="179" t="s">
        <v>937</v>
      </c>
      <c r="J326" s="179"/>
      <c r="K326" s="225" t="s">
        <v>911</v>
      </c>
      <c r="L326" s="225"/>
      <c r="M326" s="225"/>
      <c r="N326" s="184"/>
      <c r="O326" s="57" t="s">
        <v>938</v>
      </c>
      <c r="P326" s="57"/>
      <c r="Q326" s="57"/>
      <c r="R326" s="57"/>
      <c r="S326" s="57"/>
      <c r="T326" s="103"/>
      <c r="U326" s="211"/>
      <c r="V326" s="211"/>
      <c r="W326" s="211"/>
      <c r="X326" s="211"/>
      <c r="Y326" s="211"/>
      <c r="Z326" s="211"/>
      <c r="AA326" s="211"/>
      <c r="AB326" s="211"/>
      <c r="AC326" s="211"/>
      <c r="AD326" s="211"/>
      <c r="AE326" s="211"/>
      <c r="AF326" s="211"/>
      <c r="AG326" s="211"/>
      <c r="AH326" s="211"/>
      <c r="AI326" s="211"/>
      <c r="AJ326" s="211"/>
      <c r="AK326" s="103"/>
    </row>
    <row r="327" customFormat="false" ht="12.8" hidden="false" customHeight="false" outlineLevel="0" collapsed="false">
      <c r="A327" s="103"/>
      <c r="B327" s="0" t="s">
        <v>519</v>
      </c>
      <c r="C327" s="103"/>
      <c r="D327" s="95" t="s">
        <v>807</v>
      </c>
      <c r="E327" s="233" t="s">
        <v>913</v>
      </c>
      <c r="F327" s="227" t="s">
        <v>914</v>
      </c>
      <c r="G327" s="227"/>
      <c r="H327" s="95" t="s">
        <v>807</v>
      </c>
      <c r="I327" s="95" t="s">
        <v>939</v>
      </c>
      <c r="J327" s="95"/>
      <c r="K327" s="228" t="s">
        <v>940</v>
      </c>
      <c r="L327" s="228"/>
      <c r="M327" s="228"/>
      <c r="N327" s="127"/>
      <c r="O327" s="57"/>
      <c r="P327" s="57"/>
      <c r="Q327" s="57"/>
      <c r="R327" s="57"/>
      <c r="S327" s="57"/>
      <c r="T327" s="103"/>
      <c r="U327" s="211"/>
      <c r="V327" s="211"/>
      <c r="W327" s="211"/>
      <c r="X327" s="211"/>
      <c r="Y327" s="211"/>
      <c r="Z327" s="211"/>
      <c r="AA327" s="211"/>
      <c r="AB327" s="211"/>
      <c r="AC327" s="211"/>
      <c r="AD327" s="211"/>
      <c r="AE327" s="211"/>
      <c r="AF327" s="211"/>
      <c r="AG327" s="211"/>
      <c r="AH327" s="211"/>
      <c r="AI327" s="211"/>
      <c r="AJ327" s="211"/>
      <c r="AK327" s="103"/>
    </row>
    <row r="328" customFormat="false" ht="12.8" hidden="false" customHeight="false" outlineLevel="0" collapsed="false">
      <c r="A328" s="103"/>
      <c r="B328" s="0" t="s">
        <v>523</v>
      </c>
      <c r="C328" s="103"/>
      <c r="D328" s="95"/>
      <c r="F328" s="227" t="s">
        <v>916</v>
      </c>
      <c r="G328" s="227"/>
      <c r="H328" s="95"/>
      <c r="I328" s="95" t="s">
        <v>941</v>
      </c>
      <c r="J328" s="95"/>
      <c r="K328" s="228" t="s">
        <v>917</v>
      </c>
      <c r="L328" s="228"/>
      <c r="M328" s="228"/>
      <c r="N328" s="127"/>
      <c r="O328" s="57"/>
      <c r="P328" s="57"/>
      <c r="Q328" s="57"/>
      <c r="R328" s="57"/>
      <c r="S328" s="57"/>
      <c r="T328" s="103"/>
      <c r="U328" s="211"/>
      <c r="V328" s="211"/>
      <c r="W328" s="211"/>
      <c r="X328" s="211"/>
      <c r="Y328" s="211"/>
      <c r="Z328" s="211"/>
      <c r="AA328" s="211"/>
      <c r="AB328" s="211"/>
      <c r="AC328" s="211"/>
      <c r="AD328" s="211"/>
      <c r="AE328" s="211"/>
      <c r="AF328" s="211"/>
      <c r="AG328" s="211"/>
      <c r="AH328" s="211"/>
      <c r="AI328" s="211"/>
      <c r="AJ328" s="211"/>
      <c r="AK328" s="103"/>
    </row>
    <row r="329" customFormat="false" ht="12.8" hidden="false" customHeight="false" outlineLevel="0" collapsed="false">
      <c r="A329" s="103"/>
      <c r="B329" s="0" t="s">
        <v>526</v>
      </c>
      <c r="C329" s="103"/>
      <c r="D329" s="95"/>
      <c r="F329" s="227" t="s">
        <v>918</v>
      </c>
      <c r="G329" s="227"/>
      <c r="H329" s="95"/>
      <c r="I329" s="95" t="s">
        <v>942</v>
      </c>
      <c r="J329" s="95"/>
      <c r="K329" s="228" t="s">
        <v>919</v>
      </c>
      <c r="L329" s="228"/>
      <c r="M329" s="228"/>
      <c r="N329" s="127"/>
      <c r="O329" s="57"/>
      <c r="P329" s="57"/>
      <c r="Q329" s="57"/>
      <c r="R329" s="57"/>
      <c r="S329" s="57"/>
      <c r="T329" s="103"/>
      <c r="U329" s="211"/>
      <c r="V329" s="211"/>
      <c r="W329" s="211"/>
      <c r="X329" s="211"/>
      <c r="Y329" s="211"/>
      <c r="Z329" s="211"/>
      <c r="AA329" s="211"/>
      <c r="AB329" s="211"/>
      <c r="AC329" s="211"/>
      <c r="AD329" s="211"/>
      <c r="AE329" s="211"/>
      <c r="AF329" s="211"/>
      <c r="AG329" s="211"/>
      <c r="AH329" s="211"/>
      <c r="AI329" s="211"/>
      <c r="AJ329" s="211"/>
      <c r="AK329" s="103"/>
    </row>
    <row r="330" customFormat="false" ht="12.8" hidden="false" customHeight="false" outlineLevel="0" collapsed="false">
      <c r="A330" s="103"/>
      <c r="B330" s="0" t="s">
        <v>529</v>
      </c>
      <c r="C330" s="103"/>
      <c r="D330" s="95"/>
      <c r="F330" s="229"/>
      <c r="G330" s="229"/>
      <c r="H330" s="127"/>
      <c r="I330" s="95"/>
      <c r="J330" s="95"/>
      <c r="K330" s="228" t="s">
        <v>921</v>
      </c>
      <c r="L330" s="228"/>
      <c r="M330" s="228"/>
      <c r="N330" s="127"/>
      <c r="O330" s="57"/>
      <c r="P330" s="57"/>
      <c r="Q330" s="57"/>
      <c r="R330" s="57"/>
      <c r="S330" s="57"/>
      <c r="T330" s="103"/>
      <c r="U330" s="211"/>
      <c r="V330" s="211"/>
      <c r="W330" s="211"/>
      <c r="X330" s="211"/>
      <c r="Y330" s="211"/>
      <c r="Z330" s="211"/>
      <c r="AA330" s="211"/>
      <c r="AB330" s="211"/>
      <c r="AC330" s="211"/>
      <c r="AD330" s="211"/>
      <c r="AE330" s="211"/>
      <c r="AF330" s="211"/>
      <c r="AG330" s="211"/>
      <c r="AH330" s="211"/>
      <c r="AI330" s="211"/>
      <c r="AJ330" s="211"/>
      <c r="AK330" s="103"/>
    </row>
    <row r="331" customFormat="false" ht="12.8" hidden="false" customHeight="false" outlineLevel="0" collapsed="false">
      <c r="A331" s="103"/>
      <c r="B331" s="0" t="s">
        <v>943</v>
      </c>
      <c r="C331" s="103"/>
      <c r="D331" s="95"/>
      <c r="F331" s="229"/>
      <c r="G331" s="229"/>
      <c r="H331" s="127"/>
      <c r="I331" s="95"/>
      <c r="J331" s="95"/>
      <c r="K331" s="228" t="s">
        <v>923</v>
      </c>
      <c r="L331" s="228"/>
      <c r="M331" s="228"/>
      <c r="N331" s="127"/>
      <c r="O331" s="57"/>
      <c r="P331" s="57"/>
      <c r="Q331" s="57"/>
      <c r="R331" s="57"/>
      <c r="S331" s="57"/>
      <c r="T331" s="103"/>
      <c r="U331" s="211"/>
      <c r="V331" s="211"/>
      <c r="W331" s="211"/>
      <c r="X331" s="211"/>
      <c r="Y331" s="211"/>
      <c r="Z331" s="211"/>
      <c r="AA331" s="211"/>
      <c r="AB331" s="211"/>
      <c r="AC331" s="211"/>
      <c r="AD331" s="211"/>
      <c r="AE331" s="211"/>
      <c r="AF331" s="211"/>
      <c r="AG331" s="211"/>
      <c r="AH331" s="211"/>
      <c r="AI331" s="211"/>
      <c r="AJ331" s="211"/>
      <c r="AK331" s="103"/>
    </row>
    <row r="332" customFormat="false" ht="12.8" hidden="false" customHeight="false" outlineLevel="0" collapsed="false">
      <c r="A332" s="103"/>
      <c r="B332" s="0" t="s">
        <v>944</v>
      </c>
      <c r="C332" s="103"/>
      <c r="D332" s="95"/>
      <c r="F332" s="229"/>
      <c r="G332" s="229"/>
      <c r="H332" s="127"/>
      <c r="I332" s="95"/>
      <c r="J332" s="95"/>
      <c r="K332" s="228" t="s">
        <v>1338</v>
      </c>
      <c r="L332" s="228"/>
      <c r="M332" s="228"/>
      <c r="N332" s="127"/>
      <c r="O332" s="57"/>
      <c r="P332" s="57"/>
      <c r="Q332" s="57"/>
      <c r="R332" s="57"/>
      <c r="S332" s="57"/>
      <c r="T332" s="103"/>
      <c r="U332" s="211"/>
      <c r="V332" s="211"/>
      <c r="W332" s="211"/>
      <c r="X332" s="211"/>
      <c r="Y332" s="211"/>
      <c r="Z332" s="211"/>
      <c r="AA332" s="211"/>
      <c r="AB332" s="211"/>
      <c r="AC332" s="211"/>
      <c r="AD332" s="211"/>
      <c r="AE332" s="211"/>
      <c r="AF332" s="211"/>
      <c r="AG332" s="211"/>
      <c r="AH332" s="211"/>
      <c r="AI332" s="211"/>
      <c r="AJ332" s="211"/>
      <c r="AK332" s="103"/>
    </row>
    <row r="333" customFormat="false" ht="12.8" hidden="false" customHeight="false" outlineLevel="0" collapsed="false">
      <c r="A333" s="103"/>
      <c r="B333" s="0" t="s">
        <v>945</v>
      </c>
      <c r="C333" s="103"/>
      <c r="D333" s="95"/>
      <c r="F333" s="229"/>
      <c r="G333" s="229"/>
      <c r="H333" s="127"/>
      <c r="I333" s="95"/>
      <c r="J333" s="95"/>
      <c r="K333" s="228" t="s">
        <v>1339</v>
      </c>
      <c r="L333" s="228"/>
      <c r="M333" s="228"/>
      <c r="N333" s="127"/>
      <c r="O333" s="57"/>
      <c r="P333" s="57"/>
      <c r="Q333" s="57"/>
      <c r="R333" s="57"/>
      <c r="S333" s="57"/>
      <c r="T333" s="103"/>
      <c r="U333" s="211"/>
      <c r="V333" s="211"/>
      <c r="W333" s="211"/>
      <c r="X333" s="211"/>
      <c r="Y333" s="211"/>
      <c r="Z333" s="211"/>
      <c r="AA333" s="211"/>
      <c r="AB333" s="211"/>
      <c r="AC333" s="211"/>
      <c r="AD333" s="211"/>
      <c r="AE333" s="211"/>
      <c r="AF333" s="211"/>
      <c r="AG333" s="211"/>
      <c r="AH333" s="211"/>
      <c r="AI333" s="211"/>
      <c r="AJ333" s="211"/>
      <c r="AK333" s="103"/>
    </row>
    <row r="334" customFormat="false" ht="12.8" hidden="false" customHeight="false" outlineLevel="0" collapsed="false">
      <c r="A334" s="103"/>
      <c r="C334" s="103"/>
      <c r="D334" s="95"/>
      <c r="F334" s="229"/>
      <c r="G334" s="229"/>
      <c r="H334" s="127"/>
      <c r="I334" s="95"/>
      <c r="J334" s="95"/>
      <c r="K334" s="228" t="s">
        <v>1340</v>
      </c>
      <c r="L334" s="228"/>
      <c r="M334" s="228"/>
      <c r="N334" s="127"/>
      <c r="O334" s="57"/>
      <c r="P334" s="57"/>
      <c r="Q334" s="57"/>
      <c r="R334" s="57"/>
      <c r="S334" s="57"/>
      <c r="T334" s="103"/>
      <c r="U334" s="211"/>
      <c r="V334" s="211"/>
      <c r="W334" s="211"/>
      <c r="X334" s="211"/>
      <c r="Y334" s="211"/>
      <c r="Z334" s="211"/>
      <c r="AA334" s="211"/>
      <c r="AB334" s="211"/>
      <c r="AC334" s="211"/>
      <c r="AD334" s="211"/>
      <c r="AE334" s="211"/>
      <c r="AF334" s="211"/>
      <c r="AG334" s="211"/>
      <c r="AH334" s="211"/>
      <c r="AI334" s="211"/>
      <c r="AJ334" s="211"/>
      <c r="AK334" s="103"/>
    </row>
    <row r="335" customFormat="false" ht="12.8" hidden="false" customHeight="false" outlineLevel="0" collapsed="false">
      <c r="A335" s="103"/>
      <c r="C335" s="103"/>
      <c r="D335" s="95"/>
      <c r="F335" s="229"/>
      <c r="G335" s="229"/>
      <c r="H335" s="127"/>
      <c r="I335" s="95"/>
      <c r="J335" s="95"/>
      <c r="K335" s="228" t="s">
        <v>1341</v>
      </c>
      <c r="L335" s="228"/>
      <c r="M335" s="228"/>
      <c r="N335" s="127"/>
      <c r="O335" s="57"/>
      <c r="P335" s="57"/>
      <c r="Q335" s="57"/>
      <c r="R335" s="57"/>
      <c r="S335" s="57"/>
      <c r="T335" s="103"/>
      <c r="U335" s="211"/>
      <c r="V335" s="211"/>
      <c r="W335" s="211"/>
      <c r="X335" s="211"/>
      <c r="Y335" s="211"/>
      <c r="Z335" s="211"/>
      <c r="AA335" s="211"/>
      <c r="AB335" s="211"/>
      <c r="AC335" s="211"/>
      <c r="AD335" s="211"/>
      <c r="AE335" s="211"/>
      <c r="AF335" s="211"/>
      <c r="AG335" s="211"/>
      <c r="AH335" s="211"/>
      <c r="AI335" s="211"/>
      <c r="AJ335" s="211"/>
      <c r="AK335" s="103"/>
    </row>
    <row r="336" customFormat="false" ht="12.8" hidden="false" customHeight="false" outlineLevel="0" collapsed="false">
      <c r="A336" s="103"/>
      <c r="C336" s="103"/>
      <c r="D336" s="95"/>
      <c r="F336" s="229"/>
      <c r="G336" s="229"/>
      <c r="H336" s="127"/>
      <c r="I336" s="95"/>
      <c r="J336" s="95"/>
      <c r="K336" s="228" t="s">
        <v>1342</v>
      </c>
      <c r="L336" s="228"/>
      <c r="M336" s="228"/>
      <c r="N336" s="127"/>
      <c r="O336" s="57"/>
      <c r="P336" s="57"/>
      <c r="Q336" s="57"/>
      <c r="R336" s="57"/>
      <c r="S336" s="57"/>
      <c r="T336" s="103"/>
      <c r="U336" s="211"/>
      <c r="V336" s="211"/>
      <c r="W336" s="211"/>
      <c r="X336" s="211"/>
      <c r="Y336" s="211"/>
      <c r="Z336" s="211"/>
      <c r="AA336" s="211"/>
      <c r="AB336" s="211"/>
      <c r="AC336" s="211"/>
      <c r="AD336" s="211"/>
      <c r="AE336" s="211"/>
      <c r="AF336" s="211"/>
      <c r="AG336" s="211"/>
      <c r="AH336" s="211"/>
      <c r="AI336" s="211"/>
      <c r="AJ336" s="211"/>
      <c r="AK336" s="103"/>
    </row>
    <row r="337" customFormat="false" ht="12.8" hidden="false" customHeight="false" outlineLevel="0" collapsed="false">
      <c r="A337" s="103"/>
      <c r="C337" s="103"/>
      <c r="D337" s="95"/>
      <c r="F337" s="229"/>
      <c r="G337" s="229"/>
      <c r="H337" s="127"/>
      <c r="I337" s="95"/>
      <c r="J337" s="95"/>
      <c r="K337" s="228" t="s">
        <v>1343</v>
      </c>
      <c r="L337" s="228"/>
      <c r="M337" s="228"/>
      <c r="N337" s="127"/>
      <c r="O337" s="57"/>
      <c r="P337" s="57"/>
      <c r="Q337" s="57"/>
      <c r="R337" s="57"/>
      <c r="S337" s="57"/>
      <c r="T337" s="103"/>
      <c r="U337" s="211"/>
      <c r="V337" s="211"/>
      <c r="W337" s="211"/>
      <c r="X337" s="211"/>
      <c r="Y337" s="211"/>
      <c r="Z337" s="211"/>
      <c r="AA337" s="211"/>
      <c r="AB337" s="211"/>
      <c r="AC337" s="211"/>
      <c r="AD337" s="211"/>
      <c r="AE337" s="211"/>
      <c r="AF337" s="211"/>
      <c r="AG337" s="211"/>
      <c r="AH337" s="211"/>
      <c r="AI337" s="211"/>
      <c r="AJ337" s="211"/>
      <c r="AK337" s="103"/>
    </row>
    <row r="338" customFormat="false" ht="12.8" hidden="false" customHeight="false" outlineLevel="0" collapsed="false">
      <c r="A338" s="103"/>
      <c r="C338" s="103"/>
      <c r="D338" s="95"/>
      <c r="F338" s="229"/>
      <c r="G338" s="229"/>
      <c r="H338" s="127"/>
      <c r="I338" s="95"/>
      <c r="J338" s="95"/>
      <c r="K338" s="228" t="s">
        <v>931</v>
      </c>
      <c r="L338" s="228"/>
      <c r="M338" s="228"/>
      <c r="N338" s="127"/>
      <c r="O338" s="57"/>
      <c r="P338" s="57"/>
      <c r="Q338" s="57"/>
      <c r="R338" s="57"/>
      <c r="S338" s="57"/>
      <c r="T338" s="103"/>
      <c r="U338" s="211"/>
      <c r="V338" s="211"/>
      <c r="W338" s="211"/>
      <c r="X338" s="211"/>
      <c r="Y338" s="211"/>
      <c r="Z338" s="211"/>
      <c r="AA338" s="211"/>
      <c r="AB338" s="211"/>
      <c r="AC338" s="211"/>
      <c r="AD338" s="211"/>
      <c r="AE338" s="211"/>
      <c r="AF338" s="211"/>
      <c r="AG338" s="211"/>
      <c r="AH338" s="211"/>
      <c r="AI338" s="211"/>
      <c r="AJ338" s="211"/>
      <c r="AK338" s="103"/>
    </row>
    <row r="339" customFormat="false" ht="12.8" hidden="false" customHeight="false" outlineLevel="0" collapsed="false">
      <c r="A339" s="103"/>
      <c r="C339" s="103"/>
      <c r="D339" s="95"/>
      <c r="F339" s="229"/>
      <c r="G339" s="229"/>
      <c r="H339" s="127"/>
      <c r="I339" s="95"/>
      <c r="J339" s="95"/>
      <c r="K339" s="228" t="s">
        <v>932</v>
      </c>
      <c r="L339" s="228"/>
      <c r="M339" s="228"/>
      <c r="N339" s="127"/>
      <c r="O339" s="57"/>
      <c r="P339" s="57"/>
      <c r="Q339" s="57"/>
      <c r="R339" s="57"/>
      <c r="S339" s="57"/>
      <c r="T339" s="103"/>
      <c r="U339" s="211"/>
      <c r="V339" s="211"/>
      <c r="W339" s="211"/>
      <c r="X339" s="211"/>
      <c r="Y339" s="211"/>
      <c r="Z339" s="211"/>
      <c r="AA339" s="211"/>
      <c r="AB339" s="211"/>
      <c r="AC339" s="211"/>
      <c r="AD339" s="211"/>
      <c r="AE339" s="211"/>
      <c r="AF339" s="211"/>
      <c r="AG339" s="211"/>
      <c r="AH339" s="211"/>
      <c r="AI339" s="211"/>
      <c r="AJ339" s="211"/>
      <c r="AK339" s="103"/>
    </row>
    <row r="340" customFormat="false" ht="12.8" hidden="false" customHeight="false" outlineLevel="0" collapsed="false">
      <c r="A340" s="103"/>
      <c r="C340" s="103"/>
      <c r="D340" s="95"/>
      <c r="F340" s="229"/>
      <c r="G340" s="229"/>
      <c r="H340" s="127"/>
      <c r="I340" s="95"/>
      <c r="J340" s="95"/>
      <c r="K340" s="228" t="s">
        <v>933</v>
      </c>
      <c r="L340" s="228"/>
      <c r="M340" s="228"/>
      <c r="N340" s="127"/>
      <c r="O340" s="57"/>
      <c r="P340" s="57"/>
      <c r="Q340" s="57"/>
      <c r="R340" s="57"/>
      <c r="S340" s="57"/>
      <c r="T340" s="103"/>
      <c r="U340" s="211"/>
      <c r="V340" s="211"/>
      <c r="W340" s="211"/>
      <c r="X340" s="211"/>
      <c r="Y340" s="211"/>
      <c r="Z340" s="211"/>
      <c r="AA340" s="211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103"/>
    </row>
    <row r="341" customFormat="false" ht="12.8" hidden="false" customHeight="false" outlineLevel="0" collapsed="false">
      <c r="A341" s="103"/>
      <c r="C341" s="103"/>
      <c r="D341" s="94"/>
      <c r="E341" s="190"/>
      <c r="F341" s="230"/>
      <c r="G341" s="230"/>
      <c r="H341" s="191"/>
      <c r="I341" s="234"/>
      <c r="J341" s="234"/>
      <c r="K341" s="231" t="s">
        <v>934</v>
      </c>
      <c r="L341" s="231"/>
      <c r="M341" s="231"/>
      <c r="N341" s="191"/>
      <c r="O341" s="57"/>
      <c r="P341" s="57"/>
      <c r="Q341" s="57"/>
      <c r="R341" s="57"/>
      <c r="S341" s="57"/>
      <c r="T341" s="103"/>
      <c r="U341" s="211"/>
      <c r="V341" s="211"/>
      <c r="W341" s="211"/>
      <c r="X341" s="211"/>
      <c r="Y341" s="211"/>
      <c r="Z341" s="211"/>
      <c r="AA341" s="211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103"/>
    </row>
    <row r="342" customFormat="false" ht="12.8" hidden="false" customHeight="false" outlineLevel="0" collapsed="false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</row>
  </sheetData>
  <mergeCells count="758">
    <mergeCell ref="B1:S1"/>
    <mergeCell ref="B2:I6"/>
    <mergeCell ref="J2:L4"/>
    <mergeCell ref="M2:S6"/>
    <mergeCell ref="J5:K6"/>
    <mergeCell ref="L5:L6"/>
    <mergeCell ref="D8:S8"/>
    <mergeCell ref="U8:AJ8"/>
    <mergeCell ref="P10:S10"/>
    <mergeCell ref="E11:H11"/>
    <mergeCell ref="I11:O11"/>
    <mergeCell ref="P11:S40"/>
    <mergeCell ref="U11:AJ11"/>
    <mergeCell ref="D12:D14"/>
    <mergeCell ref="F12:H12"/>
    <mergeCell ref="I12:K12"/>
    <mergeCell ref="L12:O12"/>
    <mergeCell ref="U12:AJ14"/>
    <mergeCell ref="E13:E14"/>
    <mergeCell ref="F13:H14"/>
    <mergeCell ref="I13:K14"/>
    <mergeCell ref="L13:O14"/>
    <mergeCell ref="E15:H15"/>
    <mergeCell ref="I15:O15"/>
    <mergeCell ref="U15:AJ15"/>
    <mergeCell ref="D16:D18"/>
    <mergeCell ref="F16:H16"/>
    <mergeCell ref="I16:K16"/>
    <mergeCell ref="L16:O16"/>
    <mergeCell ref="U16:AJ21"/>
    <mergeCell ref="E17:E18"/>
    <mergeCell ref="F17:H18"/>
    <mergeCell ref="I17:K21"/>
    <mergeCell ref="L17:O21"/>
    <mergeCell ref="F19:H19"/>
    <mergeCell ref="E20:E21"/>
    <mergeCell ref="F20:H20"/>
    <mergeCell ref="F21:H21"/>
    <mergeCell ref="E22:G22"/>
    <mergeCell ref="H22:O22"/>
    <mergeCell ref="U22:AJ22"/>
    <mergeCell ref="D23:D25"/>
    <mergeCell ref="E23:G23"/>
    <mergeCell ref="H23:I23"/>
    <mergeCell ref="J23:K23"/>
    <mergeCell ref="L23:O23"/>
    <mergeCell ref="U23:AJ25"/>
    <mergeCell ref="E24:G25"/>
    <mergeCell ref="H24:I25"/>
    <mergeCell ref="J24:K25"/>
    <mergeCell ref="L24:O25"/>
    <mergeCell ref="E26:G26"/>
    <mergeCell ref="H26:O26"/>
    <mergeCell ref="U26:AJ26"/>
    <mergeCell ref="D27:D29"/>
    <mergeCell ref="E27:G27"/>
    <mergeCell ref="H27:I27"/>
    <mergeCell ref="J27:K27"/>
    <mergeCell ref="L27:O27"/>
    <mergeCell ref="U27:AJ29"/>
    <mergeCell ref="E28:G29"/>
    <mergeCell ref="H28:I29"/>
    <mergeCell ref="J28:K29"/>
    <mergeCell ref="L28:O29"/>
    <mergeCell ref="D30:F30"/>
    <mergeCell ref="G30:O30"/>
    <mergeCell ref="U30:AJ30"/>
    <mergeCell ref="D31:F31"/>
    <mergeCell ref="I31:K31"/>
    <mergeCell ref="L31:O31"/>
    <mergeCell ref="U31:AJ33"/>
    <mergeCell ref="D32:F40"/>
    <mergeCell ref="I32:K33"/>
    <mergeCell ref="L32:O33"/>
    <mergeCell ref="I34:K34"/>
    <mergeCell ref="L34:O34"/>
    <mergeCell ref="U34:AJ34"/>
    <mergeCell ref="I35:K37"/>
    <mergeCell ref="L35:O37"/>
    <mergeCell ref="U35:AB35"/>
    <mergeCell ref="AC35:AJ35"/>
    <mergeCell ref="U36:AB37"/>
    <mergeCell ref="AC36:AJ37"/>
    <mergeCell ref="G38:K38"/>
    <mergeCell ref="L38:O38"/>
    <mergeCell ref="U38:AJ40"/>
    <mergeCell ref="H39:K39"/>
    <mergeCell ref="L39:O40"/>
    <mergeCell ref="H40:K40"/>
    <mergeCell ref="E42:H42"/>
    <mergeCell ref="I42:N42"/>
    <mergeCell ref="P42:S71"/>
    <mergeCell ref="U42:AJ42"/>
    <mergeCell ref="D43:D45"/>
    <mergeCell ref="F43:H43"/>
    <mergeCell ref="I43:J43"/>
    <mergeCell ref="K43:N43"/>
    <mergeCell ref="U43:AJ45"/>
    <mergeCell ref="E44:E45"/>
    <mergeCell ref="F44:H45"/>
    <mergeCell ref="I44:J45"/>
    <mergeCell ref="K44:N45"/>
    <mergeCell ref="E46:H46"/>
    <mergeCell ref="I46:N46"/>
    <mergeCell ref="U46:AJ46"/>
    <mergeCell ref="D47:D49"/>
    <mergeCell ref="F47:H47"/>
    <mergeCell ref="I47:J47"/>
    <mergeCell ref="K47:N47"/>
    <mergeCell ref="U47:AJ52"/>
    <mergeCell ref="E48:E49"/>
    <mergeCell ref="F48:H49"/>
    <mergeCell ref="I48:J52"/>
    <mergeCell ref="K48:N52"/>
    <mergeCell ref="F50:H50"/>
    <mergeCell ref="E51:E52"/>
    <mergeCell ref="F51:H51"/>
    <mergeCell ref="F52:H52"/>
    <mergeCell ref="E53:G53"/>
    <mergeCell ref="H53:N53"/>
    <mergeCell ref="U53:AJ53"/>
    <mergeCell ref="D54:D56"/>
    <mergeCell ref="E54:G54"/>
    <mergeCell ref="I54:J54"/>
    <mergeCell ref="K54:N54"/>
    <mergeCell ref="U54:AJ56"/>
    <mergeCell ref="E55:G56"/>
    <mergeCell ref="H55:H56"/>
    <mergeCell ref="I55:J56"/>
    <mergeCell ref="K55:N56"/>
    <mergeCell ref="E57:G57"/>
    <mergeCell ref="H57:N57"/>
    <mergeCell ref="U57:AJ57"/>
    <mergeCell ref="D58:D60"/>
    <mergeCell ref="E58:G58"/>
    <mergeCell ref="I58:J58"/>
    <mergeCell ref="K58:N58"/>
    <mergeCell ref="U58:AJ60"/>
    <mergeCell ref="E59:G60"/>
    <mergeCell ref="H59:H60"/>
    <mergeCell ref="I59:J60"/>
    <mergeCell ref="K59:N60"/>
    <mergeCell ref="D61:F61"/>
    <mergeCell ref="G61:N61"/>
    <mergeCell ref="U61:AJ61"/>
    <mergeCell ref="D62:F62"/>
    <mergeCell ref="H62:J62"/>
    <mergeCell ref="K62:N62"/>
    <mergeCell ref="U62:AJ64"/>
    <mergeCell ref="D63:F71"/>
    <mergeCell ref="H63:J64"/>
    <mergeCell ref="K63:N64"/>
    <mergeCell ref="H65:J65"/>
    <mergeCell ref="K65:N65"/>
    <mergeCell ref="U65:AJ65"/>
    <mergeCell ref="H66:J68"/>
    <mergeCell ref="K66:N68"/>
    <mergeCell ref="U66:AB66"/>
    <mergeCell ref="AC66:AJ66"/>
    <mergeCell ref="U67:AB68"/>
    <mergeCell ref="AC67:AJ68"/>
    <mergeCell ref="G69:J69"/>
    <mergeCell ref="K69:N69"/>
    <mergeCell ref="U69:AJ71"/>
    <mergeCell ref="H70:J70"/>
    <mergeCell ref="K70:N71"/>
    <mergeCell ref="H71:J71"/>
    <mergeCell ref="D73:F73"/>
    <mergeCell ref="G73:I73"/>
    <mergeCell ref="J73:M73"/>
    <mergeCell ref="P73:S91"/>
    <mergeCell ref="U73:AA73"/>
    <mergeCell ref="AC73:AI73"/>
    <mergeCell ref="D74:F74"/>
    <mergeCell ref="G74:I74"/>
    <mergeCell ref="K74:M74"/>
    <mergeCell ref="O74:O80"/>
    <mergeCell ref="V74:AA74"/>
    <mergeCell ref="AD74:AI74"/>
    <mergeCell ref="D75:F80"/>
    <mergeCell ref="G75:I80"/>
    <mergeCell ref="K75:M75"/>
    <mergeCell ref="V75:X75"/>
    <mergeCell ref="Y75:AA75"/>
    <mergeCell ref="AD75:AF75"/>
    <mergeCell ref="AG75:AI75"/>
    <mergeCell ref="K76:M77"/>
    <mergeCell ref="V76:X77"/>
    <mergeCell ref="AD76:AF77"/>
    <mergeCell ref="K78:M78"/>
    <mergeCell ref="V78:X78"/>
    <mergeCell ref="Y78:AA78"/>
    <mergeCell ref="AD78:AF78"/>
    <mergeCell ref="AG78:AI78"/>
    <mergeCell ref="K79:M80"/>
    <mergeCell ref="V79:X80"/>
    <mergeCell ref="AD79:AF80"/>
    <mergeCell ref="D82:F82"/>
    <mergeCell ref="G82:H82"/>
    <mergeCell ref="J82:N82"/>
    <mergeCell ref="O82:O91"/>
    <mergeCell ref="U82:AA82"/>
    <mergeCell ref="AC82:AI82"/>
    <mergeCell ref="D83:F83"/>
    <mergeCell ref="G83:I83"/>
    <mergeCell ref="K83:M83"/>
    <mergeCell ref="V83:AA83"/>
    <mergeCell ref="AD83:AI83"/>
    <mergeCell ref="D84:F91"/>
    <mergeCell ref="G84:I91"/>
    <mergeCell ref="K84:M84"/>
    <mergeCell ref="V84:X84"/>
    <mergeCell ref="Y84:AA84"/>
    <mergeCell ref="AD84:AF84"/>
    <mergeCell ref="AG84:AI84"/>
    <mergeCell ref="K85:M86"/>
    <mergeCell ref="V85:X86"/>
    <mergeCell ref="AD85:AF86"/>
    <mergeCell ref="K87:N87"/>
    <mergeCell ref="V87:AA87"/>
    <mergeCell ref="AD87:AI87"/>
    <mergeCell ref="K88:N88"/>
    <mergeCell ref="V88:AA91"/>
    <mergeCell ref="AD88:AI91"/>
    <mergeCell ref="K89:N89"/>
    <mergeCell ref="K90:N90"/>
    <mergeCell ref="K91:N91"/>
    <mergeCell ref="D93:E93"/>
    <mergeCell ref="F93:L93"/>
    <mergeCell ref="P93:S106"/>
    <mergeCell ref="U93:AJ93"/>
    <mergeCell ref="D94:E94"/>
    <mergeCell ref="F94:H94"/>
    <mergeCell ref="I94:L94"/>
    <mergeCell ref="U94:AJ96"/>
    <mergeCell ref="D95:E106"/>
    <mergeCell ref="F95:H96"/>
    <mergeCell ref="I95:L96"/>
    <mergeCell ref="G97:H97"/>
    <mergeCell ref="I97:L97"/>
    <mergeCell ref="U97:AJ99"/>
    <mergeCell ref="F98:F99"/>
    <mergeCell ref="G98:H99"/>
    <mergeCell ref="I98:L99"/>
    <mergeCell ref="F100:H100"/>
    <mergeCell ref="I100:L100"/>
    <mergeCell ref="U100:AJ102"/>
    <mergeCell ref="F101:H102"/>
    <mergeCell ref="I101:L102"/>
    <mergeCell ref="F103:H103"/>
    <mergeCell ref="I103:L103"/>
    <mergeCell ref="U103:AJ103"/>
    <mergeCell ref="F104:H106"/>
    <mergeCell ref="I104:L106"/>
    <mergeCell ref="U104:AB104"/>
    <mergeCell ref="AC104:AJ104"/>
    <mergeCell ref="U105:AB106"/>
    <mergeCell ref="AC105:AJ106"/>
    <mergeCell ref="D108:E108"/>
    <mergeCell ref="F108:I108"/>
    <mergeCell ref="N108:O108"/>
    <mergeCell ref="P108:S161"/>
    <mergeCell ref="U108:AJ112"/>
    <mergeCell ref="D109:E109"/>
    <mergeCell ref="N109:O112"/>
    <mergeCell ref="D110:E112"/>
    <mergeCell ref="D114:E114"/>
    <mergeCell ref="F114:K114"/>
    <mergeCell ref="L114:M114"/>
    <mergeCell ref="N114:O114"/>
    <mergeCell ref="U114:AJ13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M115"/>
    <mergeCell ref="N115:O130"/>
    <mergeCell ref="L116:M116"/>
    <mergeCell ref="D118:E118"/>
    <mergeCell ref="F118:G118"/>
    <mergeCell ref="I118:K118"/>
    <mergeCell ref="L118:M118"/>
    <mergeCell ref="D119:E130"/>
    <mergeCell ref="F119:G130"/>
    <mergeCell ref="I119:K119"/>
    <mergeCell ref="L119:M119"/>
    <mergeCell ref="H120:H127"/>
    <mergeCell ref="I120:K120"/>
    <mergeCell ref="L120:M120"/>
    <mergeCell ref="I121:K121"/>
    <mergeCell ref="L121:M121"/>
    <mergeCell ref="I122:K122"/>
    <mergeCell ref="L122:M122"/>
    <mergeCell ref="I123:K123"/>
    <mergeCell ref="L123:M123"/>
    <mergeCell ref="I124:K124"/>
    <mergeCell ref="L124:M124"/>
    <mergeCell ref="I125:K125"/>
    <mergeCell ref="L125:M125"/>
    <mergeCell ref="I126:K126"/>
    <mergeCell ref="L126:M126"/>
    <mergeCell ref="I127:K127"/>
    <mergeCell ref="L127:M127"/>
    <mergeCell ref="I128:K128"/>
    <mergeCell ref="L128:M128"/>
    <mergeCell ref="H129:H130"/>
    <mergeCell ref="I129:K130"/>
    <mergeCell ref="L129:M129"/>
    <mergeCell ref="L130:M130"/>
    <mergeCell ref="D132:M132"/>
    <mergeCell ref="N132:O132"/>
    <mergeCell ref="U132:AJ142"/>
    <mergeCell ref="D133:M133"/>
    <mergeCell ref="N133:O142"/>
    <mergeCell ref="D134:M134"/>
    <mergeCell ref="D135:M135"/>
    <mergeCell ref="D136:M136"/>
    <mergeCell ref="D137:M137"/>
    <mergeCell ref="D138:M138"/>
    <mergeCell ref="D139:M139"/>
    <mergeCell ref="D140:M140"/>
    <mergeCell ref="D141:M141"/>
    <mergeCell ref="D142:M142"/>
    <mergeCell ref="D144:F144"/>
    <mergeCell ref="L144:M144"/>
    <mergeCell ref="N144:O144"/>
    <mergeCell ref="U144:AJ146"/>
    <mergeCell ref="L145:M146"/>
    <mergeCell ref="N145:O147"/>
    <mergeCell ref="D148:F148"/>
    <mergeCell ref="G148:I148"/>
    <mergeCell ref="J148:K148"/>
    <mergeCell ref="L148:M148"/>
    <mergeCell ref="N148:O148"/>
    <mergeCell ref="U148:AJ151"/>
    <mergeCell ref="D149:E149"/>
    <mergeCell ref="G149:I149"/>
    <mergeCell ref="L149:M151"/>
    <mergeCell ref="N149:O151"/>
    <mergeCell ref="D150:E151"/>
    <mergeCell ref="G150:I151"/>
    <mergeCell ref="D153:E153"/>
    <mergeCell ref="F153:G153"/>
    <mergeCell ref="I153:K153"/>
    <mergeCell ref="L153:M153"/>
    <mergeCell ref="N153:O161"/>
    <mergeCell ref="U153:AJ161"/>
    <mergeCell ref="D154:E161"/>
    <mergeCell ref="I154:K154"/>
    <mergeCell ref="L154:M161"/>
    <mergeCell ref="I155:K155"/>
    <mergeCell ref="I156:K156"/>
    <mergeCell ref="I157:K157"/>
    <mergeCell ref="I158:K158"/>
    <mergeCell ref="I159:K159"/>
    <mergeCell ref="I160:K160"/>
    <mergeCell ref="I161:K161"/>
    <mergeCell ref="D163:F163"/>
    <mergeCell ref="G163:H163"/>
    <mergeCell ref="I163:K163"/>
    <mergeCell ref="L163:M163"/>
    <mergeCell ref="N163:O163"/>
    <mergeCell ref="P163:S208"/>
    <mergeCell ref="U163:AJ163"/>
    <mergeCell ref="D164:F169"/>
    <mergeCell ref="G164:H169"/>
    <mergeCell ref="I164:K164"/>
    <mergeCell ref="L164:M164"/>
    <mergeCell ref="N164:O166"/>
    <mergeCell ref="U164:AJ166"/>
    <mergeCell ref="I165:K166"/>
    <mergeCell ref="L165:M165"/>
    <mergeCell ref="L166:M166"/>
    <mergeCell ref="I167:J167"/>
    <mergeCell ref="L167:M167"/>
    <mergeCell ref="N167:O169"/>
    <mergeCell ref="U167:AB167"/>
    <mergeCell ref="AC167:AJ167"/>
    <mergeCell ref="I168:J169"/>
    <mergeCell ref="K168:K169"/>
    <mergeCell ref="L168:M168"/>
    <mergeCell ref="U168:AB169"/>
    <mergeCell ref="AC168:AJ169"/>
    <mergeCell ref="L169:M169"/>
    <mergeCell ref="D171:J171"/>
    <mergeCell ref="N171:O173"/>
    <mergeCell ref="U171:AJ173"/>
    <mergeCell ref="D172:J173"/>
    <mergeCell ref="K172:K173"/>
    <mergeCell ref="M172:M173"/>
    <mergeCell ref="D175:G175"/>
    <mergeCell ref="H175:J175"/>
    <mergeCell ref="N175:O177"/>
    <mergeCell ref="U175:AJ177"/>
    <mergeCell ref="H176:J177"/>
    <mergeCell ref="K176:K177"/>
    <mergeCell ref="M176:M177"/>
    <mergeCell ref="E179:G179"/>
    <mergeCell ref="H179:M179"/>
    <mergeCell ref="N179:O179"/>
    <mergeCell ref="U179:AJ179"/>
    <mergeCell ref="D180:D182"/>
    <mergeCell ref="F180:G180"/>
    <mergeCell ref="H180:I180"/>
    <mergeCell ref="J180:M180"/>
    <mergeCell ref="N180:O208"/>
    <mergeCell ref="U180:AJ182"/>
    <mergeCell ref="E181:E182"/>
    <mergeCell ref="F181:G182"/>
    <mergeCell ref="H181:I182"/>
    <mergeCell ref="J181:M182"/>
    <mergeCell ref="E183:G183"/>
    <mergeCell ref="H183:M183"/>
    <mergeCell ref="U183:AJ183"/>
    <mergeCell ref="D184:D186"/>
    <mergeCell ref="F184:G184"/>
    <mergeCell ref="H184:I184"/>
    <mergeCell ref="J184:M184"/>
    <mergeCell ref="U184:AJ189"/>
    <mergeCell ref="E185:E186"/>
    <mergeCell ref="F185:G186"/>
    <mergeCell ref="H185:I189"/>
    <mergeCell ref="J185:M189"/>
    <mergeCell ref="F187:G187"/>
    <mergeCell ref="E188:E189"/>
    <mergeCell ref="F188:G188"/>
    <mergeCell ref="F189:G189"/>
    <mergeCell ref="E190:F190"/>
    <mergeCell ref="G190:M190"/>
    <mergeCell ref="U190:AJ190"/>
    <mergeCell ref="D191:D193"/>
    <mergeCell ref="E191:F191"/>
    <mergeCell ref="H191:I191"/>
    <mergeCell ref="J191:M191"/>
    <mergeCell ref="U191:AJ193"/>
    <mergeCell ref="E192:F193"/>
    <mergeCell ref="G192:G193"/>
    <mergeCell ref="H192:I193"/>
    <mergeCell ref="J192:M193"/>
    <mergeCell ref="E194:F194"/>
    <mergeCell ref="G194:M194"/>
    <mergeCell ref="U194:AJ194"/>
    <mergeCell ref="D195:D197"/>
    <mergeCell ref="E195:F195"/>
    <mergeCell ref="H195:I195"/>
    <mergeCell ref="J195:M195"/>
    <mergeCell ref="U195:AJ197"/>
    <mergeCell ref="E196:F197"/>
    <mergeCell ref="G196:G197"/>
    <mergeCell ref="H196:I197"/>
    <mergeCell ref="J196:M197"/>
    <mergeCell ref="D198:F198"/>
    <mergeCell ref="G198:M198"/>
    <mergeCell ref="U198:AJ198"/>
    <mergeCell ref="D199:F208"/>
    <mergeCell ref="G199:I199"/>
    <mergeCell ref="J199:M199"/>
    <mergeCell ref="U199:AJ201"/>
    <mergeCell ref="G200:I201"/>
    <mergeCell ref="J200:M201"/>
    <mergeCell ref="G202:H202"/>
    <mergeCell ref="J202:M202"/>
    <mergeCell ref="U202:AJ202"/>
    <mergeCell ref="I203:I205"/>
    <mergeCell ref="J203:M205"/>
    <mergeCell ref="U203:AB203"/>
    <mergeCell ref="AC203:AJ203"/>
    <mergeCell ref="U204:AB205"/>
    <mergeCell ref="AC204:AJ205"/>
    <mergeCell ref="G206:I206"/>
    <mergeCell ref="J206:M206"/>
    <mergeCell ref="U206:AJ208"/>
    <mergeCell ref="H207:I207"/>
    <mergeCell ref="J207:M208"/>
    <mergeCell ref="H208:I208"/>
    <mergeCell ref="D210:F210"/>
    <mergeCell ref="G210:M210"/>
    <mergeCell ref="N210:O210"/>
    <mergeCell ref="P210:S230"/>
    <mergeCell ref="U210:AJ213"/>
    <mergeCell ref="D211:F221"/>
    <mergeCell ref="N211:O213"/>
    <mergeCell ref="G214:M214"/>
    <mergeCell ref="N214:O221"/>
    <mergeCell ref="U214:AJ214"/>
    <mergeCell ref="G215:I215"/>
    <mergeCell ref="J215:M215"/>
    <mergeCell ref="U215:AJ217"/>
    <mergeCell ref="G216:I217"/>
    <mergeCell ref="J216:M217"/>
    <mergeCell ref="G218:I218"/>
    <mergeCell ref="J218:M218"/>
    <mergeCell ref="U218:AJ218"/>
    <mergeCell ref="G219:I221"/>
    <mergeCell ref="J219:M221"/>
    <mergeCell ref="U219:AB219"/>
    <mergeCell ref="AC219:AJ219"/>
    <mergeCell ref="U220:AB221"/>
    <mergeCell ref="AC220:AJ221"/>
    <mergeCell ref="D223:F223"/>
    <mergeCell ref="G223:M223"/>
    <mergeCell ref="N223:O226"/>
    <mergeCell ref="U223:AJ226"/>
    <mergeCell ref="D224:F230"/>
    <mergeCell ref="G227:M227"/>
    <mergeCell ref="N227:O230"/>
    <mergeCell ref="U227:AJ227"/>
    <mergeCell ref="G228:I228"/>
    <mergeCell ref="J228:M228"/>
    <mergeCell ref="U228:AJ230"/>
    <mergeCell ref="G229:I230"/>
    <mergeCell ref="J229:M230"/>
    <mergeCell ref="D232:I232"/>
    <mergeCell ref="J232:L232"/>
    <mergeCell ref="M232:O232"/>
    <mergeCell ref="P232:S290"/>
    <mergeCell ref="U232:AJ238"/>
    <mergeCell ref="D233:I238"/>
    <mergeCell ref="J233:K233"/>
    <mergeCell ref="M233:O238"/>
    <mergeCell ref="J234:K235"/>
    <mergeCell ref="L234:L235"/>
    <mergeCell ref="J236:K236"/>
    <mergeCell ref="J237:K238"/>
    <mergeCell ref="L237:L238"/>
    <mergeCell ref="D240:I240"/>
    <mergeCell ref="J240:L240"/>
    <mergeCell ref="M240:O240"/>
    <mergeCell ref="U240:AJ243"/>
    <mergeCell ref="D241:I243"/>
    <mergeCell ref="J241:K241"/>
    <mergeCell ref="M241:O243"/>
    <mergeCell ref="J242:K243"/>
    <mergeCell ref="L242:L243"/>
    <mergeCell ref="D245:I245"/>
    <mergeCell ref="J245:L245"/>
    <mergeCell ref="M245:O245"/>
    <mergeCell ref="U245:AJ251"/>
    <mergeCell ref="D246:I251"/>
    <mergeCell ref="J246:K246"/>
    <mergeCell ref="M246:O251"/>
    <mergeCell ref="J247:K248"/>
    <mergeCell ref="L247:L248"/>
    <mergeCell ref="J249:K249"/>
    <mergeCell ref="J250:K251"/>
    <mergeCell ref="L250:L251"/>
    <mergeCell ref="D253:I253"/>
    <mergeCell ref="J253:L253"/>
    <mergeCell ref="M253:O253"/>
    <mergeCell ref="U253:AJ259"/>
    <mergeCell ref="D254:I259"/>
    <mergeCell ref="J254:K254"/>
    <mergeCell ref="M254:O259"/>
    <mergeCell ref="J255:K256"/>
    <mergeCell ref="L255:L256"/>
    <mergeCell ref="J257:K257"/>
    <mergeCell ref="J258:K259"/>
    <mergeCell ref="L258:L259"/>
    <mergeCell ref="D261:F261"/>
    <mergeCell ref="G261:L261"/>
    <mergeCell ref="M261:O261"/>
    <mergeCell ref="U261:Z261"/>
    <mergeCell ref="AA261:AJ261"/>
    <mergeCell ref="D262:F262"/>
    <mergeCell ref="G262:I262"/>
    <mergeCell ref="J262:L262"/>
    <mergeCell ref="M262:O272"/>
    <mergeCell ref="U262:Z262"/>
    <mergeCell ref="D263:F272"/>
    <mergeCell ref="G263:I272"/>
    <mergeCell ref="J263:L263"/>
    <mergeCell ref="U263:W263"/>
    <mergeCell ref="X263:Z263"/>
    <mergeCell ref="J264:L265"/>
    <mergeCell ref="U264:W265"/>
    <mergeCell ref="J266:L266"/>
    <mergeCell ref="U266:Z266"/>
    <mergeCell ref="J267:L268"/>
    <mergeCell ref="U267:Z268"/>
    <mergeCell ref="J269:L269"/>
    <mergeCell ref="U269:AJ272"/>
    <mergeCell ref="J270:L270"/>
    <mergeCell ref="J271:L272"/>
    <mergeCell ref="D274:F274"/>
    <mergeCell ref="G274:L274"/>
    <mergeCell ref="M274:O274"/>
    <mergeCell ref="U274:AH274"/>
    <mergeCell ref="AI274:AJ274"/>
    <mergeCell ref="D275:F275"/>
    <mergeCell ref="G275:I275"/>
    <mergeCell ref="J275:L275"/>
    <mergeCell ref="M275:O285"/>
    <mergeCell ref="U275:Z275"/>
    <mergeCell ref="AA275:AB275"/>
    <mergeCell ref="AC275:AH275"/>
    <mergeCell ref="D276:F285"/>
    <mergeCell ref="G276:I285"/>
    <mergeCell ref="J276:L276"/>
    <mergeCell ref="U276:W276"/>
    <mergeCell ref="X276:Z276"/>
    <mergeCell ref="AA276:AB276"/>
    <mergeCell ref="AC276:AE276"/>
    <mergeCell ref="AF276:AH276"/>
    <mergeCell ref="J277:L278"/>
    <mergeCell ref="U277:W278"/>
    <mergeCell ref="AA277:AB277"/>
    <mergeCell ref="AC277:AE278"/>
    <mergeCell ref="AA278:AB278"/>
    <mergeCell ref="J279:L279"/>
    <mergeCell ref="U279:Z279"/>
    <mergeCell ref="AA279:AB279"/>
    <mergeCell ref="AC279:AH279"/>
    <mergeCell ref="J280:L281"/>
    <mergeCell ref="U280:Z281"/>
    <mergeCell ref="AA280:AB280"/>
    <mergeCell ref="AC280:AH281"/>
    <mergeCell ref="AA281:AB281"/>
    <mergeCell ref="J282:L282"/>
    <mergeCell ref="U282:AJ285"/>
    <mergeCell ref="J283:L283"/>
    <mergeCell ref="J284:L285"/>
    <mergeCell ref="D287:F287"/>
    <mergeCell ref="G287:I287"/>
    <mergeCell ref="J287:L287"/>
    <mergeCell ref="M287:O287"/>
    <mergeCell ref="U287:AJ290"/>
    <mergeCell ref="D288:F288"/>
    <mergeCell ref="G288:I288"/>
    <mergeCell ref="M288:O290"/>
    <mergeCell ref="D289:F290"/>
    <mergeCell ref="G289:I290"/>
    <mergeCell ref="D292:F292"/>
    <mergeCell ref="G292:K292"/>
    <mergeCell ref="L292:M292"/>
    <mergeCell ref="N292:O292"/>
    <mergeCell ref="P292:S305"/>
    <mergeCell ref="U292:AJ294"/>
    <mergeCell ref="L293:M293"/>
    <mergeCell ref="N293:O298"/>
    <mergeCell ref="L294:M294"/>
    <mergeCell ref="D296:F296"/>
    <mergeCell ref="G296:H296"/>
    <mergeCell ref="I296:K296"/>
    <mergeCell ref="L296:M296"/>
    <mergeCell ref="U296:AJ298"/>
    <mergeCell ref="D297:F298"/>
    <mergeCell ref="I297:K298"/>
    <mergeCell ref="L297:M297"/>
    <mergeCell ref="L298:M298"/>
    <mergeCell ref="D300:F300"/>
    <mergeCell ref="G300:I300"/>
    <mergeCell ref="L300:M300"/>
    <mergeCell ref="N300:O300"/>
    <mergeCell ref="U300:AJ305"/>
    <mergeCell ref="D301:F305"/>
    <mergeCell ref="G301:I305"/>
    <mergeCell ref="L301:M301"/>
    <mergeCell ref="N301:O305"/>
    <mergeCell ref="L302:M302"/>
    <mergeCell ref="L303:M303"/>
    <mergeCell ref="L304:M304"/>
    <mergeCell ref="L305:M305"/>
    <mergeCell ref="F307:G307"/>
    <mergeCell ref="H307:J307"/>
    <mergeCell ref="K307:N307"/>
    <mergeCell ref="P307:S341"/>
    <mergeCell ref="U307:AJ319"/>
    <mergeCell ref="F308:G308"/>
    <mergeCell ref="H308:J323"/>
    <mergeCell ref="K308:M308"/>
    <mergeCell ref="O308:O323"/>
    <mergeCell ref="F309:G309"/>
    <mergeCell ref="K309:M309"/>
    <mergeCell ref="F310:G310"/>
    <mergeCell ref="K310:M310"/>
    <mergeCell ref="F311:G311"/>
    <mergeCell ref="K311:M311"/>
    <mergeCell ref="F312:G312"/>
    <mergeCell ref="K312:M312"/>
    <mergeCell ref="F313:G313"/>
    <mergeCell ref="K313:M313"/>
    <mergeCell ref="F314:G314"/>
    <mergeCell ref="K314:M314"/>
    <mergeCell ref="F315:G315"/>
    <mergeCell ref="K315:M315"/>
    <mergeCell ref="F316:G316"/>
    <mergeCell ref="K316:M316"/>
    <mergeCell ref="F317:G317"/>
    <mergeCell ref="K317:M317"/>
    <mergeCell ref="F318:G318"/>
    <mergeCell ref="K318:M318"/>
    <mergeCell ref="F319:G319"/>
    <mergeCell ref="K319:M319"/>
    <mergeCell ref="F320:G320"/>
    <mergeCell ref="K320:M320"/>
    <mergeCell ref="F321:G321"/>
    <mergeCell ref="K321:M321"/>
    <mergeCell ref="F322:G322"/>
    <mergeCell ref="K322:M322"/>
    <mergeCell ref="F323:G323"/>
    <mergeCell ref="K323:M323"/>
    <mergeCell ref="F325:G325"/>
    <mergeCell ref="I325:J325"/>
    <mergeCell ref="K325:N325"/>
    <mergeCell ref="U325:AJ341"/>
    <mergeCell ref="F326:G326"/>
    <mergeCell ref="I326:J326"/>
    <mergeCell ref="K326:M326"/>
    <mergeCell ref="O326:O341"/>
    <mergeCell ref="F327:G327"/>
    <mergeCell ref="I327:J327"/>
    <mergeCell ref="K327:M327"/>
    <mergeCell ref="F328:G328"/>
    <mergeCell ref="I328:J328"/>
    <mergeCell ref="K328:M328"/>
    <mergeCell ref="F329:G329"/>
    <mergeCell ref="I329:J329"/>
    <mergeCell ref="K329:M329"/>
    <mergeCell ref="F330:G330"/>
    <mergeCell ref="I330:J330"/>
    <mergeCell ref="K330:M330"/>
    <mergeCell ref="F331:G331"/>
    <mergeCell ref="I331:J331"/>
    <mergeCell ref="K331:M331"/>
    <mergeCell ref="F332:G332"/>
    <mergeCell ref="I332:J332"/>
    <mergeCell ref="K332:M332"/>
    <mergeCell ref="F333:G333"/>
    <mergeCell ref="I333:J333"/>
    <mergeCell ref="K333:M333"/>
    <mergeCell ref="F334:G334"/>
    <mergeCell ref="I334:J334"/>
    <mergeCell ref="K334:M334"/>
    <mergeCell ref="F335:G335"/>
    <mergeCell ref="I335:J335"/>
    <mergeCell ref="K335:M335"/>
    <mergeCell ref="F336:G336"/>
    <mergeCell ref="I336:J336"/>
    <mergeCell ref="K336:M336"/>
    <mergeCell ref="F337:G337"/>
    <mergeCell ref="I337:J337"/>
    <mergeCell ref="K337:M337"/>
    <mergeCell ref="F338:G338"/>
    <mergeCell ref="I338:J338"/>
    <mergeCell ref="K338:M338"/>
    <mergeCell ref="F339:G339"/>
    <mergeCell ref="I339:J339"/>
    <mergeCell ref="K339:M339"/>
    <mergeCell ref="F340:G340"/>
    <mergeCell ref="I340:J340"/>
    <mergeCell ref="K340:M340"/>
    <mergeCell ref="F341:G341"/>
    <mergeCell ref="I341:J341"/>
    <mergeCell ref="K341:M341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6.53"/>
    <col collapsed="false" customWidth="true" hidden="false" outlineLevel="0" max="3" min="3" style="0" width="12.23"/>
    <col collapsed="false" customWidth="true" hidden="false" outlineLevel="0" max="4" min="4" style="0" width="3.61"/>
  </cols>
  <sheetData>
    <row r="1" s="107" customFormat="true" ht="12.8" hidden="false" customHeight="false" outlineLevel="0" collapsed="false">
      <c r="A1" s="235" t="s">
        <v>946</v>
      </c>
      <c r="B1" s="235"/>
      <c r="C1" s="235"/>
      <c r="D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2.8" hidden="false" customHeight="false" outlineLevel="0" collapsed="false">
      <c r="A2" s="171" t="s">
        <v>947</v>
      </c>
      <c r="B2" s="171"/>
      <c r="C2" s="149"/>
      <c r="D2" s="107"/>
    </row>
    <row r="3" customFormat="false" ht="12.8" hidden="false" customHeight="false" outlineLevel="0" collapsed="false">
      <c r="A3" s="57" t="s">
        <v>948</v>
      </c>
      <c r="B3" s="80" t="s">
        <v>598</v>
      </c>
      <c r="C3" s="80" t="s">
        <v>949</v>
      </c>
      <c r="D3" s="107"/>
    </row>
    <row r="4" customFormat="false" ht="12.8" hidden="false" customHeight="false" outlineLevel="0" collapsed="false">
      <c r="A4" s="30" t="s">
        <v>950</v>
      </c>
      <c r="B4" s="30" t="n">
        <v>0</v>
      </c>
      <c r="C4" s="236" t="s">
        <v>607</v>
      </c>
      <c r="D4" s="107"/>
    </row>
    <row r="5" customFormat="false" ht="12.8" hidden="false" customHeight="false" outlineLevel="0" collapsed="false">
      <c r="A5" s="30" t="s">
        <v>878</v>
      </c>
      <c r="B5" s="30" t="n">
        <v>1</v>
      </c>
      <c r="C5" s="237" t="s">
        <v>951</v>
      </c>
      <c r="D5" s="107"/>
    </row>
    <row r="6" customFormat="false" ht="12.8" hidden="false" customHeight="false" outlineLevel="0" collapsed="false">
      <c r="A6" s="30" t="s">
        <v>676</v>
      </c>
      <c r="B6" s="30" t="n">
        <v>15</v>
      </c>
      <c r="C6" s="237"/>
      <c r="D6" s="107"/>
    </row>
    <row r="7" customFormat="false" ht="12.8" hidden="false" customHeight="false" outlineLevel="0" collapsed="false">
      <c r="A7" s="30" t="s">
        <v>599</v>
      </c>
      <c r="B7" s="116" t="n">
        <v>2</v>
      </c>
      <c r="C7" s="238" t="s">
        <v>603</v>
      </c>
      <c r="D7" s="66"/>
    </row>
    <row r="8" customFormat="false" ht="12.8" hidden="false" customHeight="false" outlineLevel="0" collapsed="false">
      <c r="A8" s="30" t="s">
        <v>952</v>
      </c>
      <c r="B8" s="116"/>
      <c r="C8" s="238"/>
    </row>
    <row r="9" customFormat="false" ht="12.8" hidden="false" customHeight="false" outlineLevel="0" collapsed="false">
      <c r="A9" s="30" t="s">
        <v>953</v>
      </c>
      <c r="B9" s="30" t="n">
        <v>3</v>
      </c>
      <c r="C9" s="238"/>
    </row>
    <row r="10" customFormat="false" ht="12.8" hidden="false" customHeight="false" outlineLevel="0" collapsed="false">
      <c r="A10" s="30" t="s">
        <v>954</v>
      </c>
      <c r="B10" s="30" t="n">
        <v>4</v>
      </c>
      <c r="C10" s="238"/>
    </row>
    <row r="11" customFormat="false" ht="12.8" hidden="false" customHeight="false" outlineLevel="0" collapsed="false">
      <c r="A11" s="30" t="s">
        <v>955</v>
      </c>
      <c r="B11" s="30" t="n">
        <v>5</v>
      </c>
      <c r="C11" s="238"/>
    </row>
    <row r="12" customFormat="false" ht="12.8" hidden="false" customHeight="false" outlineLevel="0" collapsed="false">
      <c r="A12" s="30" t="s">
        <v>600</v>
      </c>
      <c r="B12" s="116" t="n">
        <v>6</v>
      </c>
      <c r="C12" s="238"/>
    </row>
    <row r="13" customFormat="false" ht="12.8" hidden="false" customHeight="false" outlineLevel="0" collapsed="false">
      <c r="A13" s="30" t="s">
        <v>956</v>
      </c>
      <c r="B13" s="116"/>
      <c r="C13" s="238"/>
    </row>
    <row r="14" customFormat="false" ht="12.8" hidden="false" customHeight="false" outlineLevel="0" collapsed="false">
      <c r="A14" s="30" t="s">
        <v>957</v>
      </c>
      <c r="B14" s="30" t="n">
        <v>7</v>
      </c>
      <c r="C14" s="238"/>
    </row>
    <row r="15" customFormat="false" ht="12.8" hidden="false" customHeight="false" outlineLevel="0" collapsed="false">
      <c r="A15" s="30" t="s">
        <v>958</v>
      </c>
      <c r="B15" s="30" t="n">
        <v>8</v>
      </c>
      <c r="C15" s="238"/>
    </row>
    <row r="16" customFormat="false" ht="12.8" hidden="false" customHeight="false" outlineLevel="0" collapsed="false">
      <c r="A16" s="30" t="s">
        <v>959</v>
      </c>
      <c r="B16" s="30" t="n">
        <v>9</v>
      </c>
      <c r="C16" s="238"/>
    </row>
    <row r="17" customFormat="false" ht="12.8" hidden="false" customHeight="false" outlineLevel="0" collapsed="false">
      <c r="A17" s="30" t="s">
        <v>601</v>
      </c>
      <c r="B17" s="30" t="n">
        <v>10</v>
      </c>
      <c r="C17" s="238"/>
    </row>
    <row r="18" customFormat="false" ht="12.8" hidden="false" customHeight="false" outlineLevel="0" collapsed="false">
      <c r="A18" s="30" t="s">
        <v>960</v>
      </c>
      <c r="B18" s="30" t="n">
        <v>11</v>
      </c>
      <c r="C18" s="238"/>
    </row>
    <row r="19" customFormat="false" ht="12.8" hidden="false" customHeight="false" outlineLevel="0" collapsed="false">
      <c r="A19" s="30" t="s">
        <v>961</v>
      </c>
      <c r="B19" s="30" t="n">
        <v>12</v>
      </c>
      <c r="C19" s="238"/>
    </row>
    <row r="20" customFormat="false" ht="12.8" hidden="false" customHeight="false" outlineLevel="0" collapsed="false">
      <c r="A20" s="30" t="s">
        <v>962</v>
      </c>
      <c r="B20" s="30" t="n">
        <v>13</v>
      </c>
      <c r="C20" s="238"/>
    </row>
    <row r="21" customFormat="false" ht="12.8" hidden="false" customHeight="false" outlineLevel="0" collapsed="false">
      <c r="A21" s="30" t="s">
        <v>963</v>
      </c>
      <c r="B21" s="30" t="n">
        <v>14</v>
      </c>
      <c r="C21" s="238"/>
    </row>
    <row r="23" customFormat="false" ht="12.8" hidden="false" customHeight="false" outlineLevel="0" collapsed="false">
      <c r="D23" s="107"/>
    </row>
  </sheetData>
  <mergeCells count="6">
    <mergeCell ref="A1:C1"/>
    <mergeCell ref="A2:B2"/>
    <mergeCell ref="C5:C6"/>
    <mergeCell ref="B7:B8"/>
    <mergeCell ref="C7:C21"/>
    <mergeCell ref="B12:B13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39" width="11.53"/>
    <col collapsed="false" customWidth="false" hidden="false" outlineLevel="0" max="2" min="2" style="240" width="11.53"/>
    <col collapsed="false" customWidth="true" hidden="false" outlineLevel="0" max="3" min="3" style="0" width="16.04"/>
    <col collapsed="false" customWidth="true" hidden="false" outlineLevel="0" max="4" min="4" style="0" width="103.41"/>
  </cols>
  <sheetData>
    <row r="1" customFormat="false" ht="12.8" hidden="false" customHeight="false" outlineLevel="0" collapsed="false">
      <c r="A1" s="150" t="s">
        <v>603</v>
      </c>
      <c r="B1" s="150"/>
      <c r="C1" s="150" t="s">
        <v>964</v>
      </c>
      <c r="D1" s="150" t="s">
        <v>241</v>
      </c>
    </row>
    <row r="2" customFormat="false" ht="12.8" hidden="false" customHeight="false" outlineLevel="0" collapsed="false">
      <c r="A2" s="241" t="s">
        <v>965</v>
      </c>
      <c r="B2" s="242" t="s">
        <v>966</v>
      </c>
      <c r="C2" s="0" t="s">
        <v>72</v>
      </c>
      <c r="D2" s="0" t="s">
        <v>967</v>
      </c>
    </row>
    <row r="3" customFormat="false" ht="12.8" hidden="false" customHeight="false" outlineLevel="0" collapsed="false">
      <c r="A3" s="241" t="s">
        <v>965</v>
      </c>
      <c r="B3" s="242" t="s">
        <v>968</v>
      </c>
      <c r="C3" s="0" t="s">
        <v>72</v>
      </c>
      <c r="D3" s="0" t="s">
        <v>969</v>
      </c>
    </row>
    <row r="4" customFormat="false" ht="12.8" hidden="false" customHeight="false" outlineLevel="0" collapsed="false">
      <c r="A4" s="241" t="s">
        <v>965</v>
      </c>
      <c r="B4" s="242" t="s">
        <v>970</v>
      </c>
      <c r="C4" s="0" t="s">
        <v>72</v>
      </c>
      <c r="D4" s="0" t="s">
        <v>971</v>
      </c>
    </row>
    <row r="5" customFormat="false" ht="12.8" hidden="false" customHeight="false" outlineLevel="0" collapsed="false">
      <c r="A5" s="241" t="s">
        <v>965</v>
      </c>
      <c r="B5" s="242" t="s">
        <v>972</v>
      </c>
      <c r="C5" s="0" t="s">
        <v>72</v>
      </c>
      <c r="D5" s="0" t="s">
        <v>973</v>
      </c>
    </row>
    <row r="6" customFormat="false" ht="12.8" hidden="false" customHeight="false" outlineLevel="0" collapsed="false">
      <c r="A6" s="241" t="s">
        <v>965</v>
      </c>
      <c r="B6" s="242" t="s">
        <v>974</v>
      </c>
      <c r="C6" s="0" t="s">
        <v>975</v>
      </c>
      <c r="D6" s="0" t="s">
        <v>976</v>
      </c>
    </row>
    <row r="7" customFormat="false" ht="12.8" hidden="false" customHeight="false" outlineLevel="0" collapsed="false">
      <c r="A7" s="241" t="s">
        <v>965</v>
      </c>
      <c r="B7" s="242" t="s">
        <v>977</v>
      </c>
      <c r="C7" s="0" t="s">
        <v>978</v>
      </c>
      <c r="D7" s="0" t="s">
        <v>979</v>
      </c>
    </row>
    <row r="8" customFormat="false" ht="12.8" hidden="false" customHeight="false" outlineLevel="0" collapsed="false">
      <c r="A8" s="241" t="s">
        <v>965</v>
      </c>
      <c r="B8" s="242" t="s">
        <v>980</v>
      </c>
      <c r="C8" s="0" t="s">
        <v>981</v>
      </c>
      <c r="D8" s="0" t="s">
        <v>979</v>
      </c>
    </row>
    <row r="9" customFormat="false" ht="12.8" hidden="false" customHeight="false" outlineLevel="0" collapsed="false">
      <c r="A9" s="241" t="s">
        <v>965</v>
      </c>
      <c r="B9" s="242" t="s">
        <v>982</v>
      </c>
      <c r="C9" s="0" t="s">
        <v>983</v>
      </c>
      <c r="D9" s="0" t="s">
        <v>979</v>
      </c>
    </row>
    <row r="10" customFormat="false" ht="12.8" hidden="false" customHeight="false" outlineLevel="0" collapsed="false">
      <c r="A10" s="241" t="s">
        <v>965</v>
      </c>
      <c r="B10" s="242" t="s">
        <v>984</v>
      </c>
      <c r="C10" s="0" t="s">
        <v>985</v>
      </c>
      <c r="D10" s="0" t="s">
        <v>986</v>
      </c>
    </row>
    <row r="11" customFormat="false" ht="12.8" hidden="false" customHeight="false" outlineLevel="0" collapsed="false">
      <c r="A11" s="241" t="s">
        <v>965</v>
      </c>
      <c r="B11" s="242" t="s">
        <v>987</v>
      </c>
      <c r="C11" s="0" t="s">
        <v>988</v>
      </c>
      <c r="D11" s="0" t="s">
        <v>989</v>
      </c>
    </row>
    <row r="12" customFormat="false" ht="12.8" hidden="false" customHeight="false" outlineLevel="0" collapsed="false">
      <c r="A12" s="241" t="s">
        <v>965</v>
      </c>
      <c r="B12" s="242" t="s">
        <v>990</v>
      </c>
      <c r="C12" s="0" t="s">
        <v>991</v>
      </c>
    </row>
    <row r="13" customFormat="false" ht="12.8" hidden="false" customHeight="false" outlineLevel="0" collapsed="false">
      <c r="A13" s="241" t="s">
        <v>965</v>
      </c>
      <c r="B13" s="242" t="s">
        <v>992</v>
      </c>
      <c r="C13" s="0" t="s">
        <v>993</v>
      </c>
    </row>
    <row r="14" customFormat="false" ht="12.8" hidden="false" customHeight="false" outlineLevel="0" collapsed="false">
      <c r="A14" s="241" t="s">
        <v>965</v>
      </c>
      <c r="B14" s="242" t="s">
        <v>994</v>
      </c>
      <c r="C14" s="0" t="s">
        <v>995</v>
      </c>
      <c r="D14" s="0" t="s">
        <v>996</v>
      </c>
    </row>
    <row r="15" customFormat="false" ht="12.8" hidden="false" customHeight="false" outlineLevel="0" collapsed="false">
      <c r="A15" s="241" t="s">
        <v>965</v>
      </c>
      <c r="B15" s="242" t="s">
        <v>997</v>
      </c>
      <c r="C15" s="0" t="s">
        <v>998</v>
      </c>
      <c r="D15" s="0" t="s">
        <v>999</v>
      </c>
    </row>
    <row r="16" customFormat="false" ht="12.8" hidden="false" customHeight="false" outlineLevel="0" collapsed="false">
      <c r="A16" s="241" t="s">
        <v>965</v>
      </c>
      <c r="B16" s="242" t="s">
        <v>1000</v>
      </c>
      <c r="C16" s="0" t="s">
        <v>1001</v>
      </c>
    </row>
    <row r="17" customFormat="false" ht="12.8" hidden="false" customHeight="false" outlineLevel="0" collapsed="false">
      <c r="A17" s="241"/>
      <c r="B17" s="242" t="s">
        <v>1002</v>
      </c>
    </row>
    <row r="18" customFormat="false" ht="12.8" hidden="false" customHeight="false" outlineLevel="0" collapsed="false">
      <c r="A18" s="241" t="s">
        <v>965</v>
      </c>
      <c r="B18" s="242" t="s">
        <v>1315</v>
      </c>
      <c r="C18" s="0" t="s">
        <v>1004</v>
      </c>
      <c r="D18" s="0" t="s">
        <v>1005</v>
      </c>
    </row>
    <row r="19" customFormat="false" ht="12.8" hidden="false" customHeight="false" outlineLevel="0" collapsed="false">
      <c r="A19" s="241"/>
      <c r="B19" s="242"/>
    </row>
    <row r="20" customFormat="false" ht="12.8" hidden="false" customHeight="false" outlineLevel="0" collapsed="false">
      <c r="A20" s="243" t="s">
        <v>1006</v>
      </c>
      <c r="B20" s="242" t="s">
        <v>1007</v>
      </c>
      <c r="D20" s="0" t="s">
        <v>1008</v>
      </c>
    </row>
    <row r="21" customFormat="false" ht="12.8" hidden="false" customHeight="false" outlineLevel="0" collapsed="false">
      <c r="A21" s="244" t="s">
        <v>1009</v>
      </c>
      <c r="B21" s="245" t="s">
        <v>966</v>
      </c>
      <c r="D21" s="0" t="s">
        <v>1010</v>
      </c>
    </row>
    <row r="22" customFormat="false" ht="12.8" hidden="false" customHeight="false" outlineLevel="0" collapsed="false">
      <c r="A22" s="244"/>
      <c r="B22" s="245" t="s">
        <v>1002</v>
      </c>
    </row>
    <row r="23" customFormat="false" ht="12.8" hidden="false" customHeight="false" outlineLevel="0" collapsed="false">
      <c r="A23" s="244" t="s">
        <v>1011</v>
      </c>
      <c r="B23" s="245" t="s">
        <v>966</v>
      </c>
      <c r="C23" s="0" t="s">
        <v>1012</v>
      </c>
      <c r="D23" s="0" t="s">
        <v>1013</v>
      </c>
    </row>
    <row r="24" customFormat="false" ht="12.8" hidden="false" customHeight="false" outlineLevel="0" collapsed="false">
      <c r="A24" s="244" t="s">
        <v>1011</v>
      </c>
      <c r="B24" s="245" t="s">
        <v>968</v>
      </c>
      <c r="C24" s="0" t="s">
        <v>1012</v>
      </c>
      <c r="D24" s="0" t="s">
        <v>1014</v>
      </c>
    </row>
    <row r="25" customFormat="false" ht="12.8" hidden="false" customHeight="false" outlineLevel="0" collapsed="false">
      <c r="A25" s="244" t="s">
        <v>1011</v>
      </c>
      <c r="B25" s="245" t="s">
        <v>970</v>
      </c>
      <c r="C25" s="0" t="s">
        <v>1012</v>
      </c>
      <c r="D25" s="0" t="s">
        <v>1015</v>
      </c>
    </row>
    <row r="26" customFormat="false" ht="12.8" hidden="false" customHeight="false" outlineLevel="0" collapsed="false">
      <c r="A26" s="244" t="s">
        <v>1011</v>
      </c>
      <c r="B26" s="245" t="s">
        <v>972</v>
      </c>
      <c r="C26" s="0" t="s">
        <v>1012</v>
      </c>
      <c r="D26" s="0" t="s">
        <v>1016</v>
      </c>
    </row>
    <row r="27" customFormat="false" ht="12.8" hidden="false" customHeight="false" outlineLevel="0" collapsed="false">
      <c r="A27" s="244"/>
      <c r="B27" s="245" t="s">
        <v>1002</v>
      </c>
    </row>
    <row r="28" customFormat="false" ht="12.8" hidden="false" customHeight="false" outlineLevel="0" collapsed="false">
      <c r="A28" s="244" t="s">
        <v>1017</v>
      </c>
      <c r="B28" s="245" t="s">
        <v>1018</v>
      </c>
      <c r="C28" s="0" t="s">
        <v>1012</v>
      </c>
      <c r="D28" s="0" t="s">
        <v>1019</v>
      </c>
    </row>
    <row r="29" customFormat="false" ht="12.8" hidden="false" customHeight="false" outlineLevel="0" collapsed="false">
      <c r="A29" s="244" t="s">
        <v>1017</v>
      </c>
      <c r="B29" s="245" t="s">
        <v>1007</v>
      </c>
      <c r="C29" s="0" t="s">
        <v>1012</v>
      </c>
      <c r="D29" s="0" t="s">
        <v>1020</v>
      </c>
    </row>
    <row r="30" customFormat="false" ht="12.8" hidden="false" customHeight="false" outlineLevel="0" collapsed="false">
      <c r="A30" s="244"/>
      <c r="B30" s="245" t="s">
        <v>1002</v>
      </c>
    </row>
    <row r="31" customFormat="false" ht="12.8" hidden="false" customHeight="false" outlineLevel="0" collapsed="false">
      <c r="A31" s="244" t="s">
        <v>1021</v>
      </c>
      <c r="B31" s="245" t="s">
        <v>966</v>
      </c>
      <c r="C31" s="0" t="s">
        <v>732</v>
      </c>
      <c r="D31" s="0" t="s">
        <v>1022</v>
      </c>
    </row>
    <row r="32" customFormat="false" ht="12.8" hidden="false" customHeight="false" outlineLevel="0" collapsed="false">
      <c r="A32" s="244" t="s">
        <v>1021</v>
      </c>
      <c r="B32" s="245" t="s">
        <v>968</v>
      </c>
      <c r="D32" s="0" t="s">
        <v>1023</v>
      </c>
    </row>
    <row r="33" customFormat="false" ht="12.8" hidden="false" customHeight="false" outlineLevel="0" collapsed="false">
      <c r="A33" s="244" t="s">
        <v>1021</v>
      </c>
      <c r="B33" s="245" t="s">
        <v>970</v>
      </c>
      <c r="D33" s="0" t="s">
        <v>1024</v>
      </c>
    </row>
    <row r="34" customFormat="false" ht="12.8" hidden="false" customHeight="false" outlineLevel="0" collapsed="false">
      <c r="A34" s="244" t="s">
        <v>1021</v>
      </c>
      <c r="B34" s="245" t="s">
        <v>972</v>
      </c>
      <c r="D34" s="0" t="s">
        <v>1025</v>
      </c>
    </row>
    <row r="35" customFormat="false" ht="12.8" hidden="false" customHeight="false" outlineLevel="0" collapsed="false">
      <c r="A35" s="246"/>
      <c r="B35" s="245" t="s">
        <v>1002</v>
      </c>
    </row>
    <row r="36" customFormat="false" ht="12.8" hidden="false" customHeight="false" outlineLevel="0" collapsed="false">
      <c r="A36" s="244" t="s">
        <v>1026</v>
      </c>
      <c r="B36" s="245" t="s">
        <v>1007</v>
      </c>
      <c r="D36" s="0" t="s">
        <v>1027</v>
      </c>
    </row>
  </sheetData>
  <mergeCells count="1">
    <mergeCell ref="A1:B1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13.4"/>
    <col collapsed="false" customWidth="true" hidden="false" outlineLevel="0" max="3" min="3" style="0" width="55.69"/>
  </cols>
  <sheetData>
    <row r="1" customFormat="false" ht="12.8" hidden="false" customHeight="false" outlineLevel="0" collapsed="false">
      <c r="A1" s="0" t="s">
        <v>1028</v>
      </c>
      <c r="B1" s="0" t="s">
        <v>1029</v>
      </c>
      <c r="C1" s="0" t="s">
        <v>964</v>
      </c>
    </row>
    <row r="2" customFormat="false" ht="12.8" hidden="false" customHeight="false" outlineLevel="0" collapsed="false">
      <c r="A2" s="0" t="n">
        <v>0</v>
      </c>
      <c r="B2" s="0" t="s">
        <v>613</v>
      </c>
      <c r="C2" s="0" t="s">
        <v>1030</v>
      </c>
    </row>
    <row r="3" customFormat="false" ht="12.8" hidden="false" customHeight="false" outlineLevel="0" collapsed="false">
      <c r="A3" s="0" t="n">
        <f aca="false">A2+1</f>
        <v>1</v>
      </c>
      <c r="B3" s="0" t="s">
        <v>1031</v>
      </c>
      <c r="C3" s="0" t="s">
        <v>1032</v>
      </c>
    </row>
    <row r="4" customFormat="false" ht="12.8" hidden="false" customHeight="false" outlineLevel="0" collapsed="false">
      <c r="A4" s="0" t="n">
        <f aca="false">A3+1</f>
        <v>2</v>
      </c>
      <c r="B4" s="0" t="s">
        <v>613</v>
      </c>
      <c r="C4" s="0" t="s">
        <v>1033</v>
      </c>
    </row>
    <row r="5" customFormat="false" ht="12.8" hidden="false" customHeight="false" outlineLevel="0" collapsed="false">
      <c r="A5" s="0" t="n">
        <f aca="false">A4+1</f>
        <v>3</v>
      </c>
      <c r="B5" s="0" t="s">
        <v>613</v>
      </c>
      <c r="C5" s="0" t="s">
        <v>1034</v>
      </c>
    </row>
    <row r="6" customFormat="false" ht="12.8" hidden="false" customHeight="false" outlineLevel="0" collapsed="false">
      <c r="A6" s="0" t="n">
        <f aca="false">A5+1</f>
        <v>4</v>
      </c>
      <c r="B6" s="0" t="s">
        <v>1031</v>
      </c>
      <c r="C6" s="0" t="s">
        <v>1035</v>
      </c>
    </row>
    <row r="7" customFormat="false" ht="12.8" hidden="false" customHeight="false" outlineLevel="0" collapsed="false">
      <c r="A7" s="0" t="n">
        <f aca="false">A6+1</f>
        <v>5</v>
      </c>
      <c r="B7" s="0" t="s">
        <v>613</v>
      </c>
      <c r="C7" s="0" t="s">
        <v>1036</v>
      </c>
    </row>
    <row r="8" customFormat="false" ht="12.8" hidden="false" customHeight="false" outlineLevel="0" collapsed="false">
      <c r="A8" s="0" t="n">
        <f aca="false">A7+1</f>
        <v>6</v>
      </c>
      <c r="B8" s="0" t="s">
        <v>613</v>
      </c>
      <c r="C8" s="0" t="s">
        <v>1037</v>
      </c>
    </row>
    <row r="9" customFormat="false" ht="12.8" hidden="false" customHeight="false" outlineLevel="0" collapsed="false">
      <c r="A9" s="0" t="n">
        <f aca="false">A8+1</f>
        <v>7</v>
      </c>
      <c r="B9" s="0" t="s">
        <v>1038</v>
      </c>
      <c r="C9" s="0" t="s">
        <v>1039</v>
      </c>
    </row>
    <row r="10" customFormat="false" ht="12.8" hidden="false" customHeight="false" outlineLevel="0" collapsed="false">
      <c r="A10" s="0" t="n">
        <f aca="false">A9+1</f>
        <v>8</v>
      </c>
      <c r="B10" s="0" t="s">
        <v>1040</v>
      </c>
      <c r="C10" s="0" t="s">
        <v>1041</v>
      </c>
    </row>
    <row r="11" customFormat="false" ht="12.8" hidden="false" customHeight="false" outlineLevel="0" collapsed="false">
      <c r="A11" s="0" t="n">
        <f aca="false">A10+1</f>
        <v>9</v>
      </c>
      <c r="B11" s="0" t="s">
        <v>1040</v>
      </c>
      <c r="C11" s="0" t="s">
        <v>1042</v>
      </c>
    </row>
    <row r="12" customFormat="false" ht="12.8" hidden="false" customHeight="false" outlineLevel="0" collapsed="false">
      <c r="A12" s="0" t="n">
        <f aca="false">A11+1</f>
        <v>10</v>
      </c>
      <c r="B12" s="0" t="s">
        <v>1038</v>
      </c>
      <c r="C12" s="0" t="s">
        <v>1043</v>
      </c>
    </row>
    <row r="13" customFormat="false" ht="12.8" hidden="false" customHeight="false" outlineLevel="0" collapsed="false">
      <c r="A13" s="0" t="n">
        <f aca="false">A12+1</f>
        <v>11</v>
      </c>
      <c r="B13" s="0" t="s">
        <v>608</v>
      </c>
      <c r="C13" s="0" t="s">
        <v>1044</v>
      </c>
    </row>
    <row r="14" customFormat="false" ht="12.8" hidden="false" customHeight="false" outlineLevel="0" collapsed="false">
      <c r="A14" s="0" t="n">
        <f aca="false">A13+1</f>
        <v>12</v>
      </c>
      <c r="B14" s="0" t="s">
        <v>613</v>
      </c>
      <c r="C14" s="0" t="s">
        <v>1045</v>
      </c>
    </row>
    <row r="15" customFormat="false" ht="12.8" hidden="false" customHeight="false" outlineLevel="0" collapsed="false">
      <c r="A15" s="0" t="n">
        <f aca="false">A14+1</f>
        <v>13</v>
      </c>
      <c r="B15" s="0" t="s">
        <v>1031</v>
      </c>
      <c r="C15" s="0" t="s">
        <v>1046</v>
      </c>
    </row>
    <row r="16" customFormat="false" ht="12.8" hidden="false" customHeight="false" outlineLevel="0" collapsed="false">
      <c r="A16" s="0" t="n">
        <f aca="false">A15+1</f>
        <v>14</v>
      </c>
      <c r="B16" s="0" t="s">
        <v>1038</v>
      </c>
      <c r="C16" s="0" t="s">
        <v>1047</v>
      </c>
    </row>
    <row r="17" customFormat="false" ht="12.8" hidden="false" customHeight="false" outlineLevel="0" collapsed="false">
      <c r="A17" s="0" t="n">
        <f aca="false">A16+1</f>
        <v>15</v>
      </c>
      <c r="B17" s="0" t="s">
        <v>613</v>
      </c>
      <c r="C17" s="0" t="s">
        <v>1048</v>
      </c>
    </row>
    <row r="18" customFormat="false" ht="12.8" hidden="false" customHeight="false" outlineLevel="0" collapsed="false">
      <c r="A18" s="0" t="n">
        <f aca="false">A17+1</f>
        <v>16</v>
      </c>
      <c r="B18" s="0" t="s">
        <v>1040</v>
      </c>
      <c r="C18" s="0" t="s">
        <v>1049</v>
      </c>
    </row>
    <row r="19" customFormat="false" ht="12.8" hidden="false" customHeight="false" outlineLevel="0" collapsed="false">
      <c r="A19" s="0" t="n">
        <f aca="false">A18+1</f>
        <v>17</v>
      </c>
      <c r="B19" s="0" t="s">
        <v>1038</v>
      </c>
      <c r="C19" s="0" t="s">
        <v>1050</v>
      </c>
    </row>
    <row r="20" customFormat="false" ht="12.8" hidden="false" customHeight="false" outlineLevel="0" collapsed="false">
      <c r="A20" s="0" t="n">
        <f aca="false">A19+1</f>
        <v>18</v>
      </c>
      <c r="B20" s="0" t="s">
        <v>613</v>
      </c>
      <c r="C20" s="0" t="s">
        <v>1051</v>
      </c>
    </row>
    <row r="21" customFormat="false" ht="12.8" hidden="false" customHeight="false" outlineLevel="0" collapsed="false">
      <c r="A21" s="0" t="n">
        <f aca="false">A20+1</f>
        <v>19</v>
      </c>
      <c r="B21" s="0" t="s">
        <v>1038</v>
      </c>
      <c r="C21" s="0" t="s">
        <v>1052</v>
      </c>
    </row>
    <row r="22" customFormat="false" ht="12.8" hidden="false" customHeight="false" outlineLevel="0" collapsed="false">
      <c r="A22" s="0" t="n">
        <f aca="false">A21+1</f>
        <v>20</v>
      </c>
      <c r="B22" s="0" t="s">
        <v>608</v>
      </c>
      <c r="C22" s="0" t="s">
        <v>1053</v>
      </c>
    </row>
    <row r="23" customFormat="false" ht="12.8" hidden="false" customHeight="false" outlineLevel="0" collapsed="false">
      <c r="A23" s="0" t="n">
        <f aca="false">A22+1</f>
        <v>21</v>
      </c>
      <c r="B23" s="0" t="s">
        <v>613</v>
      </c>
      <c r="C23" s="0" t="s">
        <v>1054</v>
      </c>
    </row>
    <row r="24" customFormat="false" ht="12.8" hidden="false" customHeight="false" outlineLevel="0" collapsed="false">
      <c r="A24" s="0" t="n">
        <f aca="false">A23+1</f>
        <v>22</v>
      </c>
      <c r="B24" s="0" t="s">
        <v>608</v>
      </c>
      <c r="C24" s="0" t="s">
        <v>1055</v>
      </c>
    </row>
    <row r="25" customFormat="false" ht="12.8" hidden="false" customHeight="false" outlineLevel="0" collapsed="false">
      <c r="A25" s="0" t="n">
        <f aca="false">A24+1</f>
        <v>23</v>
      </c>
      <c r="B25" s="0" t="s">
        <v>613</v>
      </c>
      <c r="C25" s="0" t="s">
        <v>1056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9" activeCellId="0" sqref="I4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47" width="20.35"/>
    <col collapsed="false" customWidth="true" hidden="false" outlineLevel="0" max="3" min="3" style="0" width="5"/>
    <col collapsed="false" customWidth="true" hidden="false" outlineLevel="0" max="34" min="4" style="0" width="4.87"/>
  </cols>
  <sheetData>
    <row r="1" customFormat="false" ht="12.8" hidden="false" customHeight="false" outlineLevel="0" collapsed="false">
      <c r="A1" s="0" t="s">
        <v>1057</v>
      </c>
      <c r="O1" s="0" t="s">
        <v>1058</v>
      </c>
    </row>
    <row r="3" customFormat="false" ht="12.8" hidden="false" customHeight="false" outlineLevel="0" collapsed="false">
      <c r="A3" s="0" t="s">
        <v>1059</v>
      </c>
      <c r="B3" s="247" t="s">
        <v>1060</v>
      </c>
    </row>
    <row r="4" customFormat="false" ht="12.8" hidden="false" customHeight="false" outlineLevel="0" collapsed="false">
      <c r="B4" s="0" t="s">
        <v>1061</v>
      </c>
    </row>
    <row r="5" customFormat="false" ht="12.8" hidden="false" customHeight="false" outlineLevel="0" collapsed="false">
      <c r="B5" s="0" t="s">
        <v>1058</v>
      </c>
    </row>
    <row r="8" customFormat="false" ht="12.8" hidden="false" customHeight="false" outlineLevel="0" collapsed="false">
      <c r="A8" s="0" t="s">
        <v>1059</v>
      </c>
      <c r="B8" s="247" t="s">
        <v>1062</v>
      </c>
      <c r="C8" s="0" t="n">
        <v>4</v>
      </c>
      <c r="D8" s="0" t="s">
        <v>1063</v>
      </c>
      <c r="E8" s="0" t="n">
        <f aca="false">2^C8</f>
        <v>16</v>
      </c>
      <c r="F8" s="0" t="s">
        <v>1064</v>
      </c>
    </row>
    <row r="10" customFormat="false" ht="12.8" hidden="false" customHeight="false" outlineLevel="0" collapsed="false">
      <c r="C10" s="0" t="s">
        <v>1065</v>
      </c>
    </row>
    <row r="11" customFormat="false" ht="12.8" hidden="false" customHeight="false" outlineLevel="0" collapsed="false">
      <c r="B11" s="247" t="s">
        <v>603</v>
      </c>
      <c r="C11" s="0" t="n">
        <v>6</v>
      </c>
      <c r="D11" s="0" t="s">
        <v>1066</v>
      </c>
    </row>
    <row r="14" customFormat="false" ht="12.8" hidden="false" customHeight="false" outlineLevel="0" collapsed="false">
      <c r="B14" s="247" t="s">
        <v>1067</v>
      </c>
      <c r="C14" s="0" t="n">
        <v>4</v>
      </c>
    </row>
    <row r="16" customFormat="false" ht="12.8" hidden="false" customHeight="false" outlineLevel="0" collapsed="false">
      <c r="B16" s="247" t="s">
        <v>1068</v>
      </c>
      <c r="C16" s="248" t="n">
        <f aca="false">(C14*E8+C11)*2</f>
        <v>140</v>
      </c>
      <c r="D16" s="248"/>
      <c r="E16" s="248"/>
    </row>
    <row r="17" customFormat="false" ht="12.8" hidden="false" customHeight="false" outlineLevel="0" collapsed="false">
      <c r="B17" s="247" t="s">
        <v>1069</v>
      </c>
      <c r="C17" s="249" t="s">
        <v>1070</v>
      </c>
      <c r="D17" s="0" t="str">
        <f aca="false">D11</f>
        <v>:23A6</v>
      </c>
    </row>
    <row r="19" customFormat="false" ht="12.8" hidden="false" customHeight="false" outlineLevel="0" collapsed="false">
      <c r="B19" s="247" t="s">
        <v>1071</v>
      </c>
      <c r="C19" s="66" t="n">
        <v>0</v>
      </c>
      <c r="D19" s="66"/>
      <c r="E19" s="66" t="n">
        <v>1</v>
      </c>
      <c r="F19" s="66"/>
      <c r="G19" s="66" t="n">
        <v>2</v>
      </c>
      <c r="H19" s="66"/>
      <c r="I19" s="66" t="n">
        <v>3</v>
      </c>
      <c r="J19" s="66"/>
      <c r="K19" s="66" t="n">
        <v>4</v>
      </c>
      <c r="L19" s="66"/>
      <c r="M19" s="66" t="n">
        <v>5</v>
      </c>
      <c r="N19" s="66"/>
      <c r="O19" s="66" t="n">
        <v>6</v>
      </c>
      <c r="P19" s="66"/>
      <c r="Q19" s="66" t="n">
        <v>7</v>
      </c>
      <c r="R19" s="66"/>
      <c r="S19" s="66" t="n">
        <v>8</v>
      </c>
      <c r="T19" s="66"/>
      <c r="U19" s="66" t="n">
        <v>9</v>
      </c>
      <c r="V19" s="66"/>
      <c r="W19" s="66" t="n">
        <v>10</v>
      </c>
      <c r="X19" s="66"/>
      <c r="Y19" s="66" t="n">
        <v>11</v>
      </c>
      <c r="Z19" s="66"/>
      <c r="AA19" s="66" t="n">
        <v>12</v>
      </c>
      <c r="AB19" s="66"/>
      <c r="AC19" s="66" t="n">
        <v>13</v>
      </c>
      <c r="AD19" s="66"/>
      <c r="AE19" s="66" t="n">
        <v>14</v>
      </c>
      <c r="AF19" s="66"/>
      <c r="AG19" s="66" t="n">
        <v>15</v>
      </c>
      <c r="AH19" s="66"/>
    </row>
    <row r="20" customFormat="false" ht="12.8" hidden="false" customHeight="false" outlineLevel="0" collapsed="false">
      <c r="A20" s="0" t="s">
        <v>1072</v>
      </c>
      <c r="B20" s="247" t="s">
        <v>1073</v>
      </c>
      <c r="C20" s="0" t="n">
        <v>0</v>
      </c>
      <c r="D20" s="0" t="n">
        <f aca="false">C20+1</f>
        <v>1</v>
      </c>
      <c r="E20" s="0" t="n">
        <f aca="false">D20+1</f>
        <v>2</v>
      </c>
      <c r="F20" s="0" t="n">
        <f aca="false">E20+1</f>
        <v>3</v>
      </c>
      <c r="G20" s="0" t="n">
        <f aca="false">F20+1</f>
        <v>4</v>
      </c>
      <c r="H20" s="0" t="n">
        <f aca="false">G20+1</f>
        <v>5</v>
      </c>
      <c r="I20" s="0" t="n">
        <f aca="false">H20+1</f>
        <v>6</v>
      </c>
      <c r="J20" s="0" t="n">
        <f aca="false">I20+1</f>
        <v>7</v>
      </c>
      <c r="K20" s="0" t="n">
        <f aca="false">J20+1</f>
        <v>8</v>
      </c>
      <c r="L20" s="0" t="n">
        <f aca="false">K20+1</f>
        <v>9</v>
      </c>
      <c r="M20" s="0" t="n">
        <f aca="false">L20+1</f>
        <v>10</v>
      </c>
      <c r="N20" s="0" t="n">
        <f aca="false">M20+1</f>
        <v>11</v>
      </c>
      <c r="O20" s="0" t="n">
        <f aca="false">N20+1</f>
        <v>12</v>
      </c>
      <c r="P20" s="0" t="n">
        <f aca="false">O20+1</f>
        <v>13</v>
      </c>
      <c r="Q20" s="0" t="n">
        <f aca="false">P20+1</f>
        <v>14</v>
      </c>
      <c r="R20" s="0" t="n">
        <f aca="false">Q20+1</f>
        <v>15</v>
      </c>
      <c r="S20" s="0" t="n">
        <f aca="false">R20+1</f>
        <v>16</v>
      </c>
      <c r="T20" s="0" t="n">
        <f aca="false">S20+1</f>
        <v>17</v>
      </c>
      <c r="U20" s="0" t="n">
        <f aca="false">T20+1</f>
        <v>18</v>
      </c>
      <c r="V20" s="0" t="n">
        <f aca="false">U20+1</f>
        <v>19</v>
      </c>
      <c r="W20" s="0" t="n">
        <f aca="false">V20+1</f>
        <v>20</v>
      </c>
      <c r="X20" s="0" t="n">
        <f aca="false">W20+1</f>
        <v>21</v>
      </c>
      <c r="Y20" s="0" t="n">
        <f aca="false">X20+1</f>
        <v>22</v>
      </c>
      <c r="Z20" s="0" t="n">
        <f aca="false">Y20+1</f>
        <v>23</v>
      </c>
      <c r="AA20" s="0" t="n">
        <f aca="false">Z20+1</f>
        <v>24</v>
      </c>
      <c r="AB20" s="0" t="n">
        <f aca="false">AA20+1</f>
        <v>25</v>
      </c>
      <c r="AC20" s="0" t="n">
        <f aca="false">AB20+1</f>
        <v>26</v>
      </c>
      <c r="AD20" s="0" t="n">
        <f aca="false">AC20+1</f>
        <v>27</v>
      </c>
      <c r="AE20" s="0" t="n">
        <f aca="false">AD20+1</f>
        <v>28</v>
      </c>
      <c r="AF20" s="0" t="n">
        <f aca="false">AE20+1</f>
        <v>29</v>
      </c>
      <c r="AG20" s="0" t="n">
        <f aca="false">AF20+1</f>
        <v>30</v>
      </c>
      <c r="AH20" s="0" t="n">
        <f aca="false">AG20+1</f>
        <v>31</v>
      </c>
    </row>
    <row r="21" customFormat="false" ht="12.8" hidden="false" customHeight="false" outlineLevel="0" collapsed="false">
      <c r="A21" s="0" t="n">
        <v>0</v>
      </c>
      <c r="B21" s="0" t="n">
        <v>0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</row>
    <row r="22" customFormat="false" ht="12.8" hidden="false" customHeight="false" outlineLevel="0" collapsed="false">
      <c r="A22" s="0" t="n">
        <f aca="false">A21+1</f>
        <v>1</v>
      </c>
      <c r="B22" s="0" t="n">
        <f aca="false">A22*$E$8*2</f>
        <v>32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</row>
    <row r="23" customFormat="false" ht="12.8" hidden="false" customHeight="false" outlineLevel="0" collapsed="false">
      <c r="A23" s="0" t="n">
        <f aca="false">A22+1</f>
        <v>2</v>
      </c>
      <c r="B23" s="0" t="n">
        <f aca="false">A23*$E$8*2</f>
        <v>64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</row>
    <row r="24" customFormat="false" ht="12.8" hidden="false" customHeight="false" outlineLevel="0" collapsed="false">
      <c r="A24" s="0" t="n">
        <f aca="false">A23+1</f>
        <v>3</v>
      </c>
      <c r="B24" s="0" t="n">
        <f aca="false">A24*$E$8*2</f>
        <v>96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</row>
    <row r="25" customFormat="false" ht="12.8" hidden="false" customHeight="false" outlineLevel="0" collapsed="false">
      <c r="A25" s="0" t="n">
        <f aca="false">A24+1</f>
        <v>4</v>
      </c>
      <c r="B25" s="0" t="n">
        <f aca="false">A25*$E$8*2</f>
        <v>128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 t="s">
        <v>1070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</row>
    <row r="26" customFormat="false" ht="12.8" hidden="false" customHeight="false" outlineLevel="0" collapsed="false">
      <c r="A26" s="0" t="n">
        <f aca="false">A25+1</f>
        <v>5</v>
      </c>
      <c r="B26" s="0" t="n">
        <f aca="false">A26*$E$8*2</f>
        <v>160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</row>
    <row r="27" customFormat="false" ht="12.8" hidden="false" customHeight="false" outlineLevel="0" collapsed="false">
      <c r="A27" s="0" t="n">
        <f aca="false">A26+1</f>
        <v>6</v>
      </c>
      <c r="B27" s="0" t="n">
        <f aca="false">A27*$E$8*2</f>
        <v>192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</row>
    <row r="28" customFormat="false" ht="12.8" hidden="false" customHeight="false" outlineLevel="0" collapsed="false">
      <c r="A28" s="0" t="n">
        <f aca="false">A27+1</f>
        <v>7</v>
      </c>
      <c r="B28" s="0" t="n">
        <f aca="false">A28*$E$8*2</f>
        <v>224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</row>
    <row r="29" customFormat="false" ht="12.8" hidden="false" customHeight="false" outlineLevel="0" collapsed="false">
      <c r="A29" s="0" t="n">
        <f aca="false">A28+1</f>
        <v>8</v>
      </c>
      <c r="B29" s="0" t="n">
        <f aca="false">A29*$E$8*2</f>
        <v>256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</row>
    <row r="30" customFormat="false" ht="12.8" hidden="false" customHeight="false" outlineLevel="0" collapsed="false">
      <c r="A30" s="0" t="n">
        <f aca="false">A29+1</f>
        <v>9</v>
      </c>
      <c r="B30" s="0" t="n">
        <f aca="false">A30*$E$8*2</f>
        <v>288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</row>
    <row r="31" customFormat="false" ht="12.8" hidden="false" customHeight="false" outlineLevel="0" collapsed="false">
      <c r="A31" s="0" t="n">
        <f aca="false">A30+1</f>
        <v>10</v>
      </c>
      <c r="B31" s="0" t="n">
        <f aca="false">A31*$E$8*2</f>
        <v>320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</row>
    <row r="32" customFormat="false" ht="12.8" hidden="false" customHeight="false" outlineLevel="0" collapsed="false">
      <c r="A32" s="0" t="n">
        <f aca="false">A31+1</f>
        <v>11</v>
      </c>
      <c r="B32" s="0" t="n">
        <f aca="false">A32*$E$8*2</f>
        <v>352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</row>
    <row r="33" customFormat="false" ht="12.8" hidden="false" customHeight="false" outlineLevel="0" collapsed="false">
      <c r="A33" s="0" t="n">
        <f aca="false">A32+1</f>
        <v>12</v>
      </c>
      <c r="B33" s="0" t="n">
        <f aca="false">A33*$E$8*2</f>
        <v>384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</row>
    <row r="34" customFormat="false" ht="12.8" hidden="false" customHeight="false" outlineLevel="0" collapsed="false">
      <c r="A34" s="0" t="n">
        <f aca="false">A33+1</f>
        <v>13</v>
      </c>
      <c r="B34" s="0" t="n">
        <f aca="false">A34*$E$8*2</f>
        <v>416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</row>
    <row r="35" customFormat="false" ht="12.8" hidden="false" customHeight="false" outlineLevel="0" collapsed="false">
      <c r="A35" s="0" t="n">
        <f aca="false">A34+1</f>
        <v>14</v>
      </c>
      <c r="B35" s="0" t="n">
        <f aca="false">A35*$E$8*2</f>
        <v>448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</row>
    <row r="36" customFormat="false" ht="12.8" hidden="false" customHeight="false" outlineLevel="0" collapsed="false">
      <c r="A36" s="0" t="n">
        <f aca="false">A35+1</f>
        <v>15</v>
      </c>
      <c r="B36" s="0" t="n">
        <f aca="false">A36*$E$8*2</f>
        <v>480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</row>
    <row r="37" customFormat="false" ht="12.8" hidden="false" customHeight="false" outlineLevel="0" collapsed="false">
      <c r="A37" s="0" t="n">
        <f aca="false">A36+1</f>
        <v>16</v>
      </c>
      <c r="B37" s="0" t="n">
        <f aca="false">A37*$E$8*2</f>
        <v>512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</row>
    <row r="38" customFormat="false" ht="12.8" hidden="false" customHeight="false" outlineLevel="0" collapsed="false">
      <c r="A38" s="0" t="n">
        <f aca="false">A37+1</f>
        <v>17</v>
      </c>
      <c r="B38" s="0" t="n">
        <f aca="false">A38*$E$8*2</f>
        <v>544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</row>
    <row r="39" customFormat="false" ht="12.8" hidden="false" customHeight="false" outlineLevel="0" collapsed="false">
      <c r="A39" s="0" t="n">
        <f aca="false">A38+1</f>
        <v>18</v>
      </c>
      <c r="B39" s="0" t="n">
        <f aca="false">A39*$E$8*2</f>
        <v>576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</row>
  </sheetData>
  <mergeCells count="322">
    <mergeCell ref="C14:E14"/>
    <mergeCell ref="C16:E16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102" width="8.24"/>
    <col collapsed="false" customWidth="true" hidden="false" outlineLevel="0" max="3" min="3" style="0" width="20.35"/>
    <col collapsed="false" customWidth="true" hidden="false" outlineLevel="0" max="4" min="4" style="102" width="15.2"/>
    <col collapsed="false" customWidth="true" hidden="false" outlineLevel="0" max="5" min="5" style="102" width="18.68"/>
    <col collapsed="false" customWidth="true" hidden="false" outlineLevel="0" max="6" min="6" style="0" width="22.71"/>
    <col collapsed="false" customWidth="true" hidden="false" outlineLevel="0" max="7" min="7" style="102" width="17.71"/>
    <col collapsed="false" customWidth="true" hidden="false" outlineLevel="0" max="8" min="8" style="102" width="134.85"/>
  </cols>
  <sheetData>
    <row r="1" s="107" customFormat="true" ht="12.8" hidden="false" customHeight="false" outlineLevel="0" collapsed="false">
      <c r="B1" s="107" t="s">
        <v>603</v>
      </c>
      <c r="C1" s="107" t="s">
        <v>237</v>
      </c>
      <c r="D1" s="107" t="s">
        <v>1074</v>
      </c>
      <c r="E1" s="107" t="s">
        <v>1075</v>
      </c>
      <c r="F1" s="107" t="s">
        <v>1076</v>
      </c>
      <c r="G1" s="107" t="s">
        <v>1077</v>
      </c>
      <c r="H1" s="107" t="s">
        <v>1078</v>
      </c>
      <c r="XFD1" s="0"/>
    </row>
    <row r="2" customFormat="false" ht="12.8" hidden="false" customHeight="false" outlineLevel="0" collapsed="false">
      <c r="A2" s="107"/>
      <c r="B2" s="107"/>
      <c r="C2" s="107"/>
      <c r="D2" s="107"/>
      <c r="F2" s="107"/>
      <c r="G2" s="107"/>
      <c r="H2" s="102" t="s">
        <v>1079</v>
      </c>
    </row>
    <row r="3" customFormat="false" ht="12.8" hidden="false" customHeight="false" outlineLevel="0" collapsed="false">
      <c r="A3" s="107"/>
      <c r="B3" s="107"/>
      <c r="C3" s="107"/>
      <c r="D3" s="107"/>
      <c r="F3" s="107"/>
      <c r="G3" s="107"/>
      <c r="H3" s="102" t="s">
        <v>1080</v>
      </c>
    </row>
    <row r="4" customFormat="false" ht="12.8" hidden="false" customHeight="false" outlineLevel="0" collapsed="false">
      <c r="A4" s="250" t="s">
        <v>1081</v>
      </c>
      <c r="B4" s="251"/>
      <c r="C4" s="252"/>
      <c r="D4" s="107"/>
      <c r="F4" s="107"/>
    </row>
    <row r="5" customFormat="false" ht="12.8" hidden="false" customHeight="false" outlineLevel="0" collapsed="false">
      <c r="A5" s="253"/>
      <c r="B5" s="102" t="n">
        <v>0</v>
      </c>
      <c r="C5" s="127" t="s">
        <v>1082</v>
      </c>
      <c r="D5" s="102" t="n">
        <v>2</v>
      </c>
      <c r="E5" s="102" t="s">
        <v>1083</v>
      </c>
      <c r="F5" s="102" t="s">
        <v>1084</v>
      </c>
      <c r="G5" s="102" t="n">
        <v>2</v>
      </c>
      <c r="H5" s="102" t="s">
        <v>1085</v>
      </c>
    </row>
    <row r="6" customFormat="false" ht="12.8" hidden="false" customHeight="false" outlineLevel="0" collapsed="false">
      <c r="A6" s="212"/>
      <c r="B6" s="102" t="n">
        <f aca="false">B5+D5</f>
        <v>2</v>
      </c>
      <c r="C6" s="127" t="s">
        <v>1088</v>
      </c>
      <c r="D6" s="102" t="n">
        <v>2</v>
      </c>
      <c r="E6" s="102" t="s">
        <v>607</v>
      </c>
      <c r="F6" s="102" t="s">
        <v>1089</v>
      </c>
      <c r="G6" s="102" t="n">
        <v>2</v>
      </c>
      <c r="H6" s="102" t="s">
        <v>1090</v>
      </c>
    </row>
    <row r="7" customFormat="false" ht="12.8" hidden="false" customHeight="false" outlineLevel="0" collapsed="false">
      <c r="A7" s="254"/>
      <c r="B7" s="102" t="n">
        <f aca="false">B6+D6</f>
        <v>4</v>
      </c>
      <c r="C7" s="255" t="s">
        <v>1091</v>
      </c>
      <c r="D7" s="102" t="n">
        <v>2</v>
      </c>
      <c r="E7" s="102" t="s">
        <v>607</v>
      </c>
      <c r="F7" s="102" t="s">
        <v>1083</v>
      </c>
      <c r="G7" s="102" t="s">
        <v>1092</v>
      </c>
      <c r="H7" s="102" t="s">
        <v>1093</v>
      </c>
    </row>
    <row r="8" customFormat="false" ht="12.8" hidden="false" customHeight="false" outlineLevel="0" collapsed="false">
      <c r="A8" s="212" t="s">
        <v>1094</v>
      </c>
      <c r="C8" s="127"/>
      <c r="H8" s="0"/>
    </row>
    <row r="9" customFormat="false" ht="12.8" hidden="false" customHeight="false" outlineLevel="0" collapsed="false">
      <c r="A9" s="212"/>
      <c r="B9" s="102" t="n">
        <f aca="false">B7+D7</f>
        <v>6</v>
      </c>
      <c r="C9" s="127" t="s">
        <v>1095</v>
      </c>
      <c r="D9" s="102" t="s">
        <v>1096</v>
      </c>
      <c r="E9" s="102" t="s">
        <v>607</v>
      </c>
      <c r="F9" s="0" t="s">
        <v>960</v>
      </c>
      <c r="G9" s="102" t="s">
        <v>1097</v>
      </c>
      <c r="H9" s="102" t="s">
        <v>1316</v>
      </c>
    </row>
    <row r="10" customFormat="false" ht="12.8" hidden="false" customHeight="false" outlineLevel="0" collapsed="false">
      <c r="A10" s="212"/>
      <c r="B10" s="102" t="n">
        <f aca="false">B9+D9</f>
        <v>8</v>
      </c>
      <c r="C10" s="127" t="s">
        <v>1099</v>
      </c>
      <c r="D10" s="102" t="s">
        <v>1096</v>
      </c>
      <c r="E10" s="102" t="s">
        <v>607</v>
      </c>
      <c r="F10" s="0" t="s">
        <v>960</v>
      </c>
      <c r="G10" s="102" t="s">
        <v>1097</v>
      </c>
      <c r="H10" s="102" t="s">
        <v>1100</v>
      </c>
    </row>
    <row r="11" customFormat="false" ht="12.8" hidden="false" customHeight="false" outlineLevel="0" collapsed="false">
      <c r="A11" s="212"/>
      <c r="B11" s="102" t="n">
        <f aca="false">B10+D10</f>
        <v>10</v>
      </c>
      <c r="C11" s="127" t="s">
        <v>1101</v>
      </c>
      <c r="D11" s="102" t="s">
        <v>1096</v>
      </c>
      <c r="E11" s="102" t="s">
        <v>607</v>
      </c>
      <c r="F11" s="0" t="s">
        <v>1089</v>
      </c>
      <c r="G11" s="102" t="n">
        <v>1</v>
      </c>
      <c r="H11" s="102" t="s">
        <v>1102</v>
      </c>
    </row>
    <row r="12" customFormat="false" ht="12.8" hidden="false" customHeight="false" outlineLevel="0" collapsed="false">
      <c r="A12" s="212"/>
      <c r="B12" s="102" t="n">
        <f aca="false">B11+D11</f>
        <v>12</v>
      </c>
      <c r="C12" s="127" t="s">
        <v>1317</v>
      </c>
      <c r="D12" s="102" t="s">
        <v>1096</v>
      </c>
      <c r="E12" s="0" t="s">
        <v>756</v>
      </c>
      <c r="F12" s="102" t="s">
        <v>1104</v>
      </c>
      <c r="G12" s="102" t="n">
        <v>1</v>
      </c>
      <c r="H12" s="102" t="s">
        <v>1105</v>
      </c>
    </row>
    <row r="13" customFormat="false" ht="12.8" hidden="false" customHeight="false" outlineLevel="0" collapsed="false">
      <c r="A13" s="189" t="s">
        <v>1106</v>
      </c>
      <c r="B13" s="256" t="n">
        <f aca="false">B12+D12</f>
        <v>14</v>
      </c>
      <c r="C13" s="191"/>
    </row>
    <row r="14" customFormat="false" ht="12.8" hidden="false" customHeight="false" outlineLevel="0" collapsed="false">
      <c r="A14" s="119" t="s">
        <v>1107</v>
      </c>
      <c r="B14" s="119"/>
      <c r="C14" s="119"/>
      <c r="D14" s="119"/>
      <c r="E14" s="119"/>
      <c r="F14" s="119"/>
      <c r="G14" s="119"/>
      <c r="H14" s="119"/>
    </row>
    <row r="16" customFormat="false" ht="12.8" hidden="false" customHeight="false" outlineLevel="0" collapsed="false">
      <c r="H16" s="102" t="s">
        <v>1108</v>
      </c>
    </row>
    <row r="17" customFormat="false" ht="12.8" hidden="false" customHeight="false" outlineLevel="0" collapsed="false">
      <c r="A17" s="250" t="s">
        <v>1081</v>
      </c>
      <c r="B17" s="251"/>
      <c r="C17" s="252"/>
      <c r="D17" s="0"/>
    </row>
    <row r="18" customFormat="false" ht="12.8" hidden="false" customHeight="false" outlineLevel="0" collapsed="false">
      <c r="A18" s="253"/>
      <c r="B18" s="102" t="n">
        <v>0</v>
      </c>
      <c r="C18" s="127" t="s">
        <v>1082</v>
      </c>
      <c r="D18" s="102" t="n">
        <v>2</v>
      </c>
      <c r="E18" s="102" t="s">
        <v>1083</v>
      </c>
      <c r="F18" s="102" t="s">
        <v>1084</v>
      </c>
      <c r="G18" s="102" t="n">
        <v>2</v>
      </c>
    </row>
    <row r="19" customFormat="false" ht="12.8" hidden="false" customHeight="false" outlineLevel="0" collapsed="false">
      <c r="A19" s="253"/>
      <c r="B19" s="102" t="n">
        <f aca="false">B18+D18</f>
        <v>2</v>
      </c>
      <c r="C19" s="127" t="s">
        <v>1109</v>
      </c>
      <c r="D19" s="102" t="n">
        <v>2</v>
      </c>
      <c r="E19" s="102" t="s">
        <v>607</v>
      </c>
      <c r="F19" s="102" t="s">
        <v>1318</v>
      </c>
      <c r="G19" s="102" t="n">
        <v>2</v>
      </c>
    </row>
    <row r="20" customFormat="false" ht="12.8" hidden="false" customHeight="false" outlineLevel="0" collapsed="false">
      <c r="A20" s="254"/>
      <c r="B20" s="102" t="n">
        <f aca="false">B19+D19</f>
        <v>4</v>
      </c>
      <c r="C20" s="255" t="s">
        <v>1319</v>
      </c>
      <c r="D20" s="102" t="n">
        <v>2</v>
      </c>
      <c r="E20" s="102" t="s">
        <v>607</v>
      </c>
      <c r="F20" s="102" t="s">
        <v>1083</v>
      </c>
      <c r="G20" s="102" t="s">
        <v>1111</v>
      </c>
    </row>
    <row r="21" customFormat="false" ht="12.8" hidden="false" customHeight="false" outlineLevel="0" collapsed="false">
      <c r="A21" s="212" t="s">
        <v>1094</v>
      </c>
      <c r="C21" s="127"/>
    </row>
    <row r="22" customFormat="false" ht="12.8" hidden="false" customHeight="false" outlineLevel="0" collapsed="false">
      <c r="A22" s="212"/>
      <c r="B22" s="102" t="n">
        <f aca="false">B20+D20</f>
        <v>6</v>
      </c>
      <c r="C22" s="127" t="s">
        <v>1112</v>
      </c>
      <c r="D22" s="102" t="n">
        <v>2</v>
      </c>
      <c r="E22" s="102" t="s">
        <v>1113</v>
      </c>
      <c r="G22" s="102" t="s">
        <v>1097</v>
      </c>
      <c r="H22" s="102" t="s">
        <v>1114</v>
      </c>
    </row>
    <row r="23" customFormat="false" ht="12.8" hidden="false" customHeight="false" outlineLevel="0" collapsed="false">
      <c r="A23" s="189" t="s">
        <v>1106</v>
      </c>
      <c r="B23" s="256" t="n">
        <f aca="false">B22+D22</f>
        <v>8</v>
      </c>
      <c r="C23" s="191"/>
    </row>
    <row r="24" customFormat="false" ht="12.8" hidden="false" customHeight="false" outlineLevel="0" collapsed="false">
      <c r="A24" s="119" t="s">
        <v>1115</v>
      </c>
      <c r="B24" s="119"/>
      <c r="C24" s="119"/>
      <c r="D24" s="119"/>
      <c r="E24" s="119"/>
      <c r="F24" s="119"/>
      <c r="G24" s="119"/>
      <c r="H24" s="119"/>
    </row>
  </sheetData>
  <mergeCells count="2">
    <mergeCell ref="A14:H14"/>
    <mergeCell ref="A24:H24"/>
  </mergeCells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02" width="8.24"/>
    <col collapsed="false" customWidth="true" hidden="false" outlineLevel="0" max="2" min="2" style="0" width="20.35"/>
    <col collapsed="false" customWidth="true" hidden="false" outlineLevel="0" max="3" min="3" style="102" width="15.2"/>
    <col collapsed="false" customWidth="true" hidden="false" outlineLevel="0" max="5" min="4" style="0" width="18.92"/>
    <col collapsed="false" customWidth="true" hidden="false" outlineLevel="0" max="6" min="6" style="102" width="7.14"/>
    <col collapsed="false" customWidth="true" hidden="false" outlineLevel="0" max="7" min="7" style="102" width="40.94"/>
  </cols>
  <sheetData>
    <row r="1" s="107" customFormat="true" ht="12.8" hidden="false" customHeight="false" outlineLevel="0" collapsed="false">
      <c r="A1" s="107" t="s">
        <v>603</v>
      </c>
      <c r="B1" s="107" t="s">
        <v>237</v>
      </c>
      <c r="C1" s="107" t="s">
        <v>1074</v>
      </c>
      <c r="D1" s="107" t="s">
        <v>1075</v>
      </c>
      <c r="E1" s="107" t="s">
        <v>1076</v>
      </c>
      <c r="F1" s="107" t="s">
        <v>1077</v>
      </c>
      <c r="G1" s="107" t="s">
        <v>1078</v>
      </c>
      <c r="XFD1" s="0"/>
    </row>
    <row r="2" s="107" customFormat="true" ht="12.8" hidden="false" customHeight="false" outlineLevel="0" collapsed="false">
      <c r="G2" s="102" t="s">
        <v>1116</v>
      </c>
      <c r="XFD2" s="0"/>
    </row>
    <row r="3" customFormat="false" ht="12.8" hidden="false" customHeight="false" outlineLevel="0" collapsed="false">
      <c r="A3" s="102" t="n">
        <v>0</v>
      </c>
      <c r="B3" s="0" t="s">
        <v>1117</v>
      </c>
      <c r="C3" s="102" t="n">
        <v>4</v>
      </c>
      <c r="D3" s="0" t="s">
        <v>607</v>
      </c>
      <c r="E3" s="102" t="s">
        <v>600</v>
      </c>
      <c r="F3" s="102" t="n">
        <v>3</v>
      </c>
      <c r="G3" s="102" t="s">
        <v>1118</v>
      </c>
    </row>
    <row r="4" customFormat="false" ht="12.8" hidden="false" customHeight="false" outlineLevel="0" collapsed="false">
      <c r="A4" s="102" t="n">
        <f aca="false">A3+C3</f>
        <v>4</v>
      </c>
      <c r="B4" s="0" t="s">
        <v>1119</v>
      </c>
      <c r="C4" s="102" t="n">
        <v>2</v>
      </c>
      <c r="D4" s="0" t="s">
        <v>607</v>
      </c>
      <c r="E4" s="0" t="s">
        <v>1120</v>
      </c>
      <c r="F4" s="102" t="s">
        <v>1121</v>
      </c>
      <c r="G4" s="102" t="s">
        <v>1122</v>
      </c>
    </row>
    <row r="5" customFormat="false" ht="12.8" hidden="false" customHeight="false" outlineLevel="0" collapsed="false">
      <c r="A5" s="102" t="n">
        <f aca="false">A4+C4</f>
        <v>6</v>
      </c>
      <c r="B5" s="102" t="s">
        <v>1123</v>
      </c>
      <c r="C5" s="102" t="n">
        <v>4</v>
      </c>
      <c r="D5" s="102" t="s">
        <v>600</v>
      </c>
      <c r="E5" s="0" t="s">
        <v>1120</v>
      </c>
      <c r="F5" s="102" t="n">
        <v>3</v>
      </c>
      <c r="G5" s="102" t="s">
        <v>1124</v>
      </c>
    </row>
    <row r="6" customFormat="false" ht="12.8" hidden="false" customHeight="false" outlineLevel="0" collapsed="false">
      <c r="A6" s="102" t="n">
        <f aca="false">A5+C5</f>
        <v>10</v>
      </c>
      <c r="B6" s="0" t="s">
        <v>1125</v>
      </c>
      <c r="C6" s="102" t="n">
        <v>2</v>
      </c>
      <c r="D6" s="0" t="s">
        <v>607</v>
      </c>
      <c r="F6" s="102" t="n">
        <v>2</v>
      </c>
      <c r="G6" s="102" t="s">
        <v>1126</v>
      </c>
    </row>
    <row r="7" customFormat="false" ht="12.8" hidden="false" customHeight="false" outlineLevel="0" collapsed="false">
      <c r="F7" s="102" t="n">
        <f aca="false">SUM(F3:F6)</f>
        <v>8</v>
      </c>
      <c r="G7" s="102" t="s">
        <v>1127</v>
      </c>
    </row>
    <row r="8" customFormat="false" ht="12.8" hidden="false" customHeight="false" outlineLevel="0" collapsed="false">
      <c r="F8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9" activeCellId="0" sqref="F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102" width="8.24"/>
    <col collapsed="false" customWidth="true" hidden="false" outlineLevel="0" max="3" min="3" style="0" width="20.35"/>
    <col collapsed="false" customWidth="true" hidden="false" outlineLevel="0" max="4" min="4" style="102" width="15.2"/>
    <col collapsed="false" customWidth="true" hidden="false" outlineLevel="0" max="5" min="5" style="102" width="18.68"/>
    <col collapsed="false" customWidth="true" hidden="false" outlineLevel="0" max="6" min="6" style="0" width="22.71"/>
    <col collapsed="false" customWidth="true" hidden="false" outlineLevel="0" max="7" min="7" style="102" width="17.71"/>
    <col collapsed="false" customWidth="true" hidden="false" outlineLevel="0" max="8" min="8" style="102" width="134.85"/>
  </cols>
  <sheetData>
    <row r="1" s="107" customFormat="true" ht="12.8" hidden="false" customHeight="false" outlineLevel="0" collapsed="false">
      <c r="B1" s="107" t="s">
        <v>603</v>
      </c>
      <c r="C1" s="107" t="s">
        <v>237</v>
      </c>
      <c r="D1" s="107" t="s">
        <v>1074</v>
      </c>
      <c r="E1" s="107" t="s">
        <v>1075</v>
      </c>
      <c r="F1" s="107" t="s">
        <v>1076</v>
      </c>
      <c r="G1" s="107" t="s">
        <v>1077</v>
      </c>
      <c r="H1" s="107" t="s">
        <v>1078</v>
      </c>
      <c r="XFD1" s="0"/>
    </row>
    <row r="2" customFormat="false" ht="12.8" hidden="false" customHeight="false" outlineLevel="0" collapsed="false">
      <c r="A2" s="107"/>
      <c r="B2" s="107"/>
      <c r="C2" s="107"/>
      <c r="D2" s="107"/>
      <c r="F2" s="107"/>
      <c r="H2" s="102" t="s">
        <v>1128</v>
      </c>
    </row>
    <row r="3" customFormat="false" ht="12.8" hidden="false" customHeight="false" outlineLevel="0" collapsed="false">
      <c r="A3" s="250" t="s">
        <v>1081</v>
      </c>
      <c r="B3" s="251"/>
      <c r="C3" s="252"/>
      <c r="D3" s="107"/>
      <c r="F3" s="107"/>
    </row>
    <row r="4" customFormat="false" ht="12.8" hidden="false" customHeight="false" outlineLevel="0" collapsed="false">
      <c r="A4" s="253"/>
      <c r="B4" s="102" t="n">
        <v>0</v>
      </c>
      <c r="C4" s="127" t="s">
        <v>1129</v>
      </c>
      <c r="D4" s="102" t="n">
        <v>2</v>
      </c>
      <c r="E4" s="102" t="s">
        <v>607</v>
      </c>
      <c r="F4" s="102" t="s">
        <v>607</v>
      </c>
      <c r="G4" s="102" t="n">
        <v>2</v>
      </c>
      <c r="H4" s="102" t="s">
        <v>1130</v>
      </c>
    </row>
    <row r="5" customFormat="false" ht="12.8" hidden="false" customHeight="false" outlineLevel="0" collapsed="false">
      <c r="A5" s="212"/>
      <c r="B5" s="102" t="n">
        <f aca="false">B4+D4</f>
        <v>2</v>
      </c>
      <c r="C5" s="127" t="s">
        <v>1131</v>
      </c>
      <c r="D5" s="102" t="n">
        <v>2</v>
      </c>
      <c r="E5" s="102" t="s">
        <v>607</v>
      </c>
      <c r="F5" s="102" t="s">
        <v>607</v>
      </c>
      <c r="G5" s="102" t="n">
        <v>2</v>
      </c>
      <c r="H5" s="102" t="s">
        <v>1132</v>
      </c>
    </row>
    <row r="6" customFormat="false" ht="12.8" hidden="false" customHeight="false" outlineLevel="0" collapsed="false">
      <c r="A6" s="212"/>
      <c r="B6" s="102" t="n">
        <f aca="false">B5+D5</f>
        <v>4</v>
      </c>
      <c r="C6" s="127" t="s">
        <v>1133</v>
      </c>
      <c r="D6" s="102" t="n">
        <v>4</v>
      </c>
      <c r="E6" s="0" t="s">
        <v>1083</v>
      </c>
      <c r="F6" s="0" t="s">
        <v>756</v>
      </c>
      <c r="G6" s="102" t="n">
        <v>3</v>
      </c>
      <c r="H6" s="0" t="s">
        <v>1134</v>
      </c>
    </row>
    <row r="7" customFormat="false" ht="12.8" hidden="false" customHeight="false" outlineLevel="0" collapsed="false">
      <c r="A7" s="189" t="s">
        <v>1106</v>
      </c>
      <c r="B7" s="256" t="n">
        <f aca="false">B6+D6</f>
        <v>8</v>
      </c>
      <c r="C7" s="191"/>
      <c r="E7" s="0"/>
      <c r="G7" s="102" t="n">
        <f aca="false">SUM(G4:G6)</f>
        <v>7</v>
      </c>
      <c r="H7" s="0"/>
    </row>
    <row r="8" customFormat="false" ht="12.8" hidden="false" customHeight="false" outlineLevel="0" collapsed="false">
      <c r="B8" s="0"/>
      <c r="E8" s="0"/>
      <c r="H8" s="0"/>
    </row>
    <row r="19" customFormat="false" ht="12.8" hidden="false" customHeight="false" outlineLevel="0" collapsed="false">
      <c r="E19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.48"/>
    <col collapsed="false" customWidth="true" hidden="false" outlineLevel="0" max="3" min="3" style="0" width="27.68"/>
    <col collapsed="false" customWidth="true" hidden="false" outlineLevel="0" max="6" min="5" style="0" width="22.68"/>
    <col collapsed="false" customWidth="true" hidden="false" outlineLevel="0" max="7" min="7" style="0" width="5.98"/>
    <col collapsed="false" customWidth="true" hidden="false" outlineLevel="0" max="8" min="8" style="0" width="36.07"/>
    <col collapsed="false" customWidth="true" hidden="false" outlineLevel="0" max="9" min="9" style="0" width="17.15"/>
    <col collapsed="false" customWidth="true" hidden="false" outlineLevel="0" max="15" min="15" style="0" width="2.77"/>
    <col collapsed="false" customWidth="true" hidden="false" outlineLevel="0" max="18" min="18" style="0" width="2.77"/>
    <col collapsed="false" customWidth="true" hidden="false" outlineLevel="0" max="27" min="27" style="0" width="14.09"/>
    <col collapsed="false" customWidth="true" hidden="false" outlineLevel="0" max="31" min="31" style="0" width="2.77"/>
  </cols>
  <sheetData>
    <row r="1" customFormat="false" ht="12.65" hidden="false" customHeight="true" outlineLevel="0" collapsed="false">
      <c r="A1" s="257" t="s">
        <v>1135</v>
      </c>
      <c r="B1" s="257"/>
      <c r="C1" s="257" t="s">
        <v>1136</v>
      </c>
      <c r="D1" s="257"/>
      <c r="E1" s="257" t="s">
        <v>1137</v>
      </c>
      <c r="F1" s="257" t="s">
        <v>1138</v>
      </c>
      <c r="G1" s="257"/>
      <c r="H1" s="257"/>
      <c r="I1" s="258" t="s">
        <v>237</v>
      </c>
      <c r="J1" s="258" t="s">
        <v>1139</v>
      </c>
      <c r="K1" s="258" t="s">
        <v>1140</v>
      </c>
      <c r="L1" s="258" t="s">
        <v>1135</v>
      </c>
      <c r="M1" s="258" t="s">
        <v>1141</v>
      </c>
      <c r="N1" s="258" t="s">
        <v>1142</v>
      </c>
      <c r="O1" s="258"/>
      <c r="P1" s="258" t="s">
        <v>1143</v>
      </c>
      <c r="Q1" s="258" t="s">
        <v>1144</v>
      </c>
      <c r="R1" s="258"/>
      <c r="S1" s="259" t="s">
        <v>1145</v>
      </c>
      <c r="T1" s="259" t="s">
        <v>1146</v>
      </c>
      <c r="U1" s="259" t="s">
        <v>1147</v>
      </c>
      <c r="V1" s="259" t="s">
        <v>1148</v>
      </c>
      <c r="W1" s="259" t="s">
        <v>1149</v>
      </c>
      <c r="X1" s="259" t="s">
        <v>1150</v>
      </c>
      <c r="Y1" s="259" t="s">
        <v>1151</v>
      </c>
      <c r="Z1" s="259" t="s">
        <v>1152</v>
      </c>
      <c r="AA1" s="258" t="s">
        <v>1153</v>
      </c>
      <c r="AB1" s="258" t="s">
        <v>1154</v>
      </c>
      <c r="AC1" s="136" t="s">
        <v>1155</v>
      </c>
      <c r="AD1" s="258" t="s">
        <v>1156</v>
      </c>
      <c r="AF1" s="258" t="s">
        <v>1157</v>
      </c>
      <c r="AG1" s="258" t="s">
        <v>188</v>
      </c>
      <c r="AH1" s="258" t="s">
        <v>189</v>
      </c>
      <c r="AI1" s="258" t="s">
        <v>191</v>
      </c>
    </row>
    <row r="2" customFormat="false" ht="12.65" hidden="false" customHeight="true" outlineLevel="0" collapsed="false">
      <c r="A2" s="260" t="s">
        <v>1158</v>
      </c>
      <c r="B2" s="260" t="s">
        <v>1159</v>
      </c>
      <c r="C2" s="261" t="n">
        <v>0</v>
      </c>
      <c r="D2" s="262" t="s">
        <v>1160</v>
      </c>
      <c r="E2" s="261" t="n">
        <v>0</v>
      </c>
      <c r="F2" s="240" t="s">
        <v>1161</v>
      </c>
      <c r="G2" s="240"/>
      <c r="H2" s="2"/>
      <c r="I2" s="240"/>
      <c r="J2" s="240"/>
      <c r="K2" s="263" t="s">
        <v>852</v>
      </c>
      <c r="L2" s="263" t="s">
        <v>851</v>
      </c>
      <c r="M2" s="263" t="s">
        <v>846</v>
      </c>
      <c r="N2" s="263" t="s">
        <v>848</v>
      </c>
      <c r="O2" s="263"/>
      <c r="P2" s="263"/>
      <c r="Q2" s="263"/>
      <c r="R2" s="263"/>
      <c r="S2" s="259" t="s">
        <v>1162</v>
      </c>
      <c r="T2" s="259" t="s">
        <v>1163</v>
      </c>
      <c r="U2" s="263" t="s">
        <v>1164</v>
      </c>
      <c r="V2" s="264" t="s">
        <v>1165</v>
      </c>
      <c r="W2" s="264" t="s">
        <v>1166</v>
      </c>
      <c r="X2" s="264" t="s">
        <v>1167</v>
      </c>
      <c r="Y2" s="264" t="s">
        <v>1168</v>
      </c>
      <c r="Z2" s="264" t="s">
        <v>1169</v>
      </c>
      <c r="AA2" s="239"/>
      <c r="AB2" s="239"/>
      <c r="AC2" s="239"/>
      <c r="AD2" s="239"/>
      <c r="AE2" s="239"/>
      <c r="AF2" s="263" t="s">
        <v>184</v>
      </c>
      <c r="AG2" s="258" t="s">
        <v>175</v>
      </c>
      <c r="AH2" s="258" t="s">
        <v>176</v>
      </c>
      <c r="AI2" s="258" t="s">
        <v>178</v>
      </c>
      <c r="AJ2" s="239"/>
    </row>
    <row r="3" customFormat="false" ht="12.65" hidden="false" customHeight="true" outlineLevel="0" collapsed="false">
      <c r="A3" s="260" t="s">
        <v>1170</v>
      </c>
      <c r="B3" s="260" t="s">
        <v>1171</v>
      </c>
      <c r="C3" s="260" t="s">
        <v>852</v>
      </c>
      <c r="D3" s="262" t="s">
        <v>1172</v>
      </c>
      <c r="E3" s="260" t="s">
        <v>852</v>
      </c>
      <c r="F3" s="240" t="s">
        <v>1173</v>
      </c>
      <c r="G3" s="240"/>
      <c r="H3" s="265" t="s">
        <v>1174</v>
      </c>
      <c r="I3" s="240" t="s">
        <v>1175</v>
      </c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40"/>
      <c r="AG3" s="239" t="n">
        <v>2</v>
      </c>
      <c r="AH3" s="239" t="n">
        <v>2</v>
      </c>
      <c r="AI3" s="239"/>
      <c r="AJ3" s="239"/>
    </row>
    <row r="4" customFormat="false" ht="12.65" hidden="false" customHeight="true" outlineLevel="0" collapsed="false">
      <c r="A4" s="260" t="s">
        <v>1176</v>
      </c>
      <c r="B4" s="260" t="s">
        <v>1177</v>
      </c>
      <c r="C4" s="260" t="s">
        <v>1145</v>
      </c>
      <c r="D4" s="262" t="s">
        <v>1178</v>
      </c>
      <c r="E4" s="260" t="s">
        <v>1145</v>
      </c>
      <c r="F4" s="240" t="s">
        <v>1179</v>
      </c>
      <c r="G4" s="240"/>
      <c r="H4" s="265" t="s">
        <v>1180</v>
      </c>
      <c r="I4" s="240" t="s">
        <v>1181</v>
      </c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40"/>
      <c r="AG4" s="266" t="n">
        <v>2</v>
      </c>
      <c r="AH4" s="266" t="n">
        <v>2</v>
      </c>
      <c r="AI4" s="239" t="n">
        <v>4</v>
      </c>
      <c r="AJ4" s="239"/>
    </row>
    <row r="5" customFormat="false" ht="12.65" hidden="false" customHeight="true" outlineLevel="0" collapsed="false">
      <c r="A5" s="260" t="s">
        <v>1182</v>
      </c>
      <c r="B5" s="260" t="s">
        <v>1183</v>
      </c>
      <c r="C5" s="260" t="s">
        <v>1184</v>
      </c>
      <c r="D5" s="262" t="s">
        <v>1185</v>
      </c>
      <c r="E5" s="260" t="s">
        <v>1146</v>
      </c>
      <c r="F5" s="240" t="s">
        <v>1186</v>
      </c>
      <c r="G5" s="240"/>
      <c r="H5" s="265" t="s">
        <v>1187</v>
      </c>
      <c r="I5" s="240" t="s">
        <v>1188</v>
      </c>
      <c r="J5" s="267" t="s">
        <v>1189</v>
      </c>
      <c r="K5" s="239" t="s">
        <v>1190</v>
      </c>
      <c r="L5" s="239" t="s">
        <v>1191</v>
      </c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66" t="n">
        <v>2</v>
      </c>
      <c r="AH5" s="266" t="n">
        <v>2</v>
      </c>
      <c r="AI5" s="266" t="n">
        <v>4</v>
      </c>
      <c r="AJ5" s="239"/>
    </row>
    <row r="6" customFormat="false" ht="12.65" hidden="false" customHeight="true" outlineLevel="0" collapsed="false">
      <c r="A6" s="260" t="s">
        <v>1192</v>
      </c>
      <c r="B6" s="260" t="s">
        <v>1193</v>
      </c>
      <c r="C6" s="260" t="s">
        <v>1146</v>
      </c>
      <c r="D6" s="262" t="s">
        <v>1194</v>
      </c>
      <c r="E6" s="260" t="s">
        <v>1147</v>
      </c>
      <c r="F6" s="240" t="s">
        <v>1195</v>
      </c>
      <c r="G6" s="240"/>
      <c r="H6" s="265" t="s">
        <v>1196</v>
      </c>
      <c r="I6" s="240" t="s">
        <v>1197</v>
      </c>
      <c r="J6" s="267" t="s">
        <v>1189</v>
      </c>
      <c r="K6" s="266" t="s">
        <v>1190</v>
      </c>
      <c r="L6" s="266" t="s">
        <v>1191</v>
      </c>
      <c r="M6" s="266"/>
      <c r="N6" s="239" t="n">
        <v>0</v>
      </c>
      <c r="O6" s="239"/>
      <c r="P6" s="240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66" t="n">
        <v>2</v>
      </c>
      <c r="AH6" s="266" t="n">
        <v>2</v>
      </c>
      <c r="AI6" s="266" t="n">
        <v>4</v>
      </c>
      <c r="AJ6" s="239"/>
    </row>
    <row r="7" customFormat="false" ht="12.65" hidden="false" customHeight="true" outlineLevel="0" collapsed="false">
      <c r="A7" s="260" t="s">
        <v>1198</v>
      </c>
      <c r="B7" s="260" t="s">
        <v>1199</v>
      </c>
      <c r="C7" s="260" t="s">
        <v>1200</v>
      </c>
      <c r="D7" s="262" t="s">
        <v>1201</v>
      </c>
      <c r="E7" s="260" t="s">
        <v>1148</v>
      </c>
      <c r="F7" s="240" t="s">
        <v>1202</v>
      </c>
      <c r="G7" s="240"/>
      <c r="H7" s="265" t="s">
        <v>1203</v>
      </c>
      <c r="I7" s="240" t="s">
        <v>1204</v>
      </c>
      <c r="J7" s="239" t="n">
        <v>0</v>
      </c>
      <c r="K7" s="266" t="s">
        <v>1190</v>
      </c>
      <c r="L7" s="266" t="s">
        <v>1191</v>
      </c>
      <c r="M7" s="239" t="n">
        <v>0</v>
      </c>
      <c r="N7" s="266" t="n">
        <v>0</v>
      </c>
      <c r="O7" s="239"/>
      <c r="P7" s="239" t="s">
        <v>1205</v>
      </c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 t="n">
        <v>0</v>
      </c>
      <c r="AE7" s="239"/>
      <c r="AF7" s="239"/>
      <c r="AG7" s="266" t="n">
        <v>2</v>
      </c>
      <c r="AH7" s="266" t="n">
        <v>2</v>
      </c>
      <c r="AI7" s="266" t="n">
        <v>4</v>
      </c>
      <c r="AJ7" s="239"/>
    </row>
    <row r="8" customFormat="false" ht="12.65" hidden="false" customHeight="true" outlineLevel="0" collapsed="false">
      <c r="A8" s="260" t="s">
        <v>1206</v>
      </c>
      <c r="B8" s="260" t="s">
        <v>1207</v>
      </c>
      <c r="C8" s="260" t="s">
        <v>1208</v>
      </c>
      <c r="D8" s="262" t="s">
        <v>1209</v>
      </c>
      <c r="E8" s="260" t="s">
        <v>1149</v>
      </c>
      <c r="F8" s="240" t="s">
        <v>1210</v>
      </c>
      <c r="G8" s="240"/>
      <c r="H8" s="265" t="s">
        <v>1211</v>
      </c>
      <c r="I8" s="240"/>
      <c r="J8" s="239" t="n">
        <v>1</v>
      </c>
      <c r="K8" s="266" t="s">
        <v>1190</v>
      </c>
      <c r="L8" s="266" t="s">
        <v>1191</v>
      </c>
      <c r="M8" s="239" t="s">
        <v>1212</v>
      </c>
      <c r="N8" s="239" t="n">
        <v>1</v>
      </c>
      <c r="O8" s="239"/>
      <c r="P8" s="239" t="s">
        <v>1213</v>
      </c>
      <c r="Q8" s="239" t="s">
        <v>1212</v>
      </c>
      <c r="R8" s="239"/>
      <c r="S8" s="239" t="s">
        <v>1214</v>
      </c>
      <c r="T8" s="239" t="s">
        <v>1215</v>
      </c>
      <c r="U8" s="239" t="n">
        <v>3540</v>
      </c>
      <c r="V8" s="239" t="n">
        <v>9270</v>
      </c>
      <c r="W8" s="239" t="s">
        <v>1216</v>
      </c>
      <c r="X8" s="239" t="s">
        <v>1217</v>
      </c>
      <c r="Y8" s="239" t="s">
        <v>1218</v>
      </c>
      <c r="Z8" s="239" t="n">
        <v>2148</v>
      </c>
      <c r="AA8" s="239" t="s">
        <v>1219</v>
      </c>
      <c r="AB8" s="239" t="s">
        <v>1212</v>
      </c>
      <c r="AC8" s="239" t="s">
        <v>1212</v>
      </c>
      <c r="AD8" s="239" t="n">
        <v>0</v>
      </c>
      <c r="AE8" s="239"/>
      <c r="AF8" s="239"/>
      <c r="AG8" s="266" t="n">
        <v>2</v>
      </c>
      <c r="AH8" s="266" t="n">
        <v>2</v>
      </c>
      <c r="AI8" s="266" t="n">
        <v>4</v>
      </c>
      <c r="AJ8" s="239"/>
    </row>
    <row r="9" customFormat="false" ht="12.65" hidden="false" customHeight="true" outlineLevel="0" collapsed="false">
      <c r="A9" s="260" t="s">
        <v>1220</v>
      </c>
      <c r="B9" s="260" t="s">
        <v>1221</v>
      </c>
      <c r="C9" s="260" t="s">
        <v>1222</v>
      </c>
      <c r="D9" s="262" t="s">
        <v>1223</v>
      </c>
      <c r="E9" s="260" t="s">
        <v>1150</v>
      </c>
      <c r="F9" s="240" t="s">
        <v>1224</v>
      </c>
      <c r="G9" s="240"/>
      <c r="H9" s="265" t="s">
        <v>1225</v>
      </c>
      <c r="I9" s="240" t="s">
        <v>1204</v>
      </c>
      <c r="J9" s="239" t="n">
        <v>0</v>
      </c>
      <c r="K9" s="266" t="s">
        <v>1190</v>
      </c>
      <c r="L9" s="266" t="s">
        <v>1191</v>
      </c>
      <c r="M9" s="266" t="s">
        <v>1212</v>
      </c>
      <c r="N9" s="239" t="n">
        <v>1</v>
      </c>
      <c r="O9" s="239"/>
      <c r="P9" s="239" t="s">
        <v>1205</v>
      </c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 t="n">
        <v>0</v>
      </c>
      <c r="AE9" s="239"/>
      <c r="AF9" s="266" t="n">
        <v>0</v>
      </c>
      <c r="AG9" s="266" t="n">
        <v>2</v>
      </c>
      <c r="AH9" s="266" t="n">
        <v>2</v>
      </c>
      <c r="AI9" s="266" t="n">
        <v>4</v>
      </c>
      <c r="AJ9" s="239"/>
    </row>
    <row r="10" customFormat="false" ht="12.65" hidden="false" customHeight="true" outlineLevel="0" collapsed="false">
      <c r="A10" s="260" t="s">
        <v>1226</v>
      </c>
      <c r="B10" s="260" t="s">
        <v>1227</v>
      </c>
      <c r="C10" s="260" t="s">
        <v>1147</v>
      </c>
      <c r="D10" s="262" t="s">
        <v>1228</v>
      </c>
      <c r="E10" s="260" t="s">
        <v>1184</v>
      </c>
      <c r="F10" s="240" t="s">
        <v>1229</v>
      </c>
      <c r="G10" s="240"/>
      <c r="H10" s="265" t="s">
        <v>1230</v>
      </c>
      <c r="I10" s="240"/>
      <c r="J10" s="239" t="n">
        <v>1</v>
      </c>
      <c r="K10" s="266" t="s">
        <v>1190</v>
      </c>
      <c r="L10" s="266" t="s">
        <v>1191</v>
      </c>
      <c r="M10" s="239" t="n">
        <v>33960</v>
      </c>
      <c r="N10" s="239" t="n">
        <v>2</v>
      </c>
      <c r="O10" s="239"/>
      <c r="P10" s="239" t="s">
        <v>1221</v>
      </c>
      <c r="Q10" s="239" t="s">
        <v>1231</v>
      </c>
      <c r="R10" s="239"/>
      <c r="S10" s="239" t="s">
        <v>1214</v>
      </c>
      <c r="T10" s="239" t="s">
        <v>1215</v>
      </c>
      <c r="U10" s="239" t="n">
        <v>3540</v>
      </c>
      <c r="V10" s="239" t="n">
        <v>9270</v>
      </c>
      <c r="W10" s="239" t="s">
        <v>1216</v>
      </c>
      <c r="X10" s="239" t="s">
        <v>1217</v>
      </c>
      <c r="Y10" s="239" t="s">
        <v>1218</v>
      </c>
      <c r="Z10" s="239" t="n">
        <v>2148</v>
      </c>
      <c r="AA10" s="239" t="s">
        <v>1232</v>
      </c>
      <c r="AB10" s="239" t="s">
        <v>1233</v>
      </c>
      <c r="AC10" s="239" t="s">
        <v>1231</v>
      </c>
      <c r="AD10" s="239" t="n">
        <v>0</v>
      </c>
      <c r="AE10" s="239"/>
      <c r="AF10" s="239" t="n">
        <v>0</v>
      </c>
      <c r="AG10" s="266" t="n">
        <v>2</v>
      </c>
      <c r="AH10" s="266" t="n">
        <v>2</v>
      </c>
      <c r="AI10" s="266" t="n">
        <v>4</v>
      </c>
      <c r="AJ10" s="239"/>
    </row>
    <row r="11" customFormat="false" ht="12.65" hidden="false" customHeight="true" outlineLevel="0" collapsed="false">
      <c r="A11" s="260" t="s">
        <v>1234</v>
      </c>
      <c r="B11" s="260" t="s">
        <v>1235</v>
      </c>
      <c r="C11" s="260" t="s">
        <v>1236</v>
      </c>
      <c r="D11" s="262" t="s">
        <v>1237</v>
      </c>
      <c r="E11" s="260" t="s">
        <v>1200</v>
      </c>
      <c r="F11" s="240" t="s">
        <v>1238</v>
      </c>
      <c r="G11" s="240"/>
      <c r="H11" s="265" t="s">
        <v>1225</v>
      </c>
      <c r="I11" s="240" t="s">
        <v>1204</v>
      </c>
      <c r="J11" s="239" t="n">
        <v>0</v>
      </c>
      <c r="K11" s="266" t="s">
        <v>1190</v>
      </c>
      <c r="L11" s="266" t="s">
        <v>1191</v>
      </c>
      <c r="M11" s="266" t="n">
        <v>33960</v>
      </c>
      <c r="N11" s="266" t="n">
        <v>2</v>
      </c>
      <c r="O11" s="239"/>
      <c r="P11" s="239" t="s">
        <v>1205</v>
      </c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 t="n">
        <v>0</v>
      </c>
      <c r="AE11" s="239"/>
      <c r="AF11" s="266" t="n">
        <v>0</v>
      </c>
      <c r="AG11" s="266" t="n">
        <v>2</v>
      </c>
      <c r="AH11" s="266" t="n">
        <v>2</v>
      </c>
      <c r="AI11" s="266" t="n">
        <v>4</v>
      </c>
      <c r="AJ11" s="239"/>
    </row>
    <row r="12" customFormat="false" ht="12.65" hidden="false" customHeight="true" outlineLevel="0" collapsed="false">
      <c r="A12" s="260" t="s">
        <v>1239</v>
      </c>
      <c r="B12" s="260" t="s">
        <v>1240</v>
      </c>
      <c r="C12" s="260" t="s">
        <v>1241</v>
      </c>
      <c r="D12" s="260"/>
      <c r="E12" s="260"/>
      <c r="F12" s="240" t="s">
        <v>1242</v>
      </c>
      <c r="G12" s="240"/>
      <c r="H12" s="265" t="s">
        <v>1230</v>
      </c>
      <c r="I12" s="240"/>
      <c r="J12" s="239" t="n">
        <v>1</v>
      </c>
      <c r="K12" s="266" t="s">
        <v>1190</v>
      </c>
      <c r="L12" s="266" t="s">
        <v>1191</v>
      </c>
      <c r="M12" s="266" t="n">
        <v>33960</v>
      </c>
      <c r="N12" s="239" t="n">
        <v>3</v>
      </c>
      <c r="O12" s="239"/>
      <c r="P12" s="239" t="s">
        <v>1213</v>
      </c>
      <c r="Q12" s="239" t="s">
        <v>1231</v>
      </c>
      <c r="R12" s="239"/>
      <c r="S12" s="239" t="s">
        <v>1214</v>
      </c>
      <c r="T12" s="239" t="s">
        <v>1215</v>
      </c>
      <c r="U12" s="239" t="n">
        <v>3540</v>
      </c>
      <c r="V12" s="239" t="n">
        <v>9270</v>
      </c>
      <c r="W12" s="239" t="s">
        <v>1216</v>
      </c>
      <c r="X12" s="239" t="s">
        <v>1217</v>
      </c>
      <c r="Y12" s="239" t="s">
        <v>1218</v>
      </c>
      <c r="Z12" s="239" t="n">
        <v>2148</v>
      </c>
      <c r="AA12" s="239" t="s">
        <v>1161</v>
      </c>
      <c r="AB12" s="239" t="n">
        <v>0</v>
      </c>
      <c r="AC12" s="239" t="s">
        <v>1231</v>
      </c>
      <c r="AD12" s="239" t="n">
        <v>0</v>
      </c>
      <c r="AE12" s="239"/>
      <c r="AF12" s="239" t="n">
        <v>0</v>
      </c>
      <c r="AG12" s="266" t="n">
        <v>2</v>
      </c>
      <c r="AH12" s="266" t="n">
        <v>2</v>
      </c>
      <c r="AI12" s="266" t="n">
        <v>4</v>
      </c>
      <c r="AJ12" s="239"/>
    </row>
    <row r="13" customFormat="false" ht="12.65" hidden="false" customHeight="true" outlineLevel="0" collapsed="false">
      <c r="A13" s="260" t="s">
        <v>1243</v>
      </c>
      <c r="B13" s="260" t="s">
        <v>1244</v>
      </c>
      <c r="C13" s="260" t="s">
        <v>1245</v>
      </c>
      <c r="D13" s="260"/>
      <c r="E13" s="260"/>
      <c r="F13" s="240" t="s">
        <v>1246</v>
      </c>
      <c r="G13" s="240"/>
      <c r="H13" s="265" t="s">
        <v>1225</v>
      </c>
      <c r="I13" s="240" t="s">
        <v>1204</v>
      </c>
      <c r="J13" s="239" t="n">
        <v>0</v>
      </c>
      <c r="K13" s="266" t="s">
        <v>1190</v>
      </c>
      <c r="L13" s="266" t="s">
        <v>1191</v>
      </c>
      <c r="M13" s="266" t="n">
        <v>33960</v>
      </c>
      <c r="N13" s="239" t="n">
        <v>3</v>
      </c>
      <c r="O13" s="239"/>
      <c r="P13" s="239" t="s">
        <v>1205</v>
      </c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 t="n">
        <v>0</v>
      </c>
      <c r="AE13" s="239"/>
      <c r="AF13" s="266" t="n">
        <v>0</v>
      </c>
      <c r="AG13" s="266" t="n">
        <v>2</v>
      </c>
      <c r="AH13" s="266" t="n">
        <v>2</v>
      </c>
      <c r="AI13" s="266" t="n">
        <v>4</v>
      </c>
      <c r="AJ13" s="239"/>
    </row>
    <row r="14" customFormat="false" ht="12.65" hidden="false" customHeight="true" outlineLevel="0" collapsed="false">
      <c r="A14" s="260" t="s">
        <v>1247</v>
      </c>
      <c r="B14" s="260" t="s">
        <v>1213</v>
      </c>
      <c r="C14" s="260" t="s">
        <v>1248</v>
      </c>
      <c r="D14" s="260"/>
      <c r="E14" s="260"/>
      <c r="F14" s="240" t="s">
        <v>1249</v>
      </c>
      <c r="G14" s="240"/>
      <c r="H14" s="265" t="s">
        <v>1230</v>
      </c>
      <c r="I14" s="240"/>
      <c r="J14" s="239" t="n">
        <v>1</v>
      </c>
      <c r="K14" s="266" t="s">
        <v>1190</v>
      </c>
      <c r="L14" s="266" t="s">
        <v>1191</v>
      </c>
      <c r="M14" s="266" t="n">
        <v>33960</v>
      </c>
      <c r="N14" s="239" t="n">
        <v>4</v>
      </c>
      <c r="O14" s="239"/>
      <c r="P14" s="239" t="s">
        <v>1221</v>
      </c>
      <c r="Q14" s="239" t="s">
        <v>1231</v>
      </c>
      <c r="R14" s="239"/>
      <c r="S14" s="239" t="s">
        <v>1214</v>
      </c>
      <c r="T14" s="239" t="s">
        <v>1215</v>
      </c>
      <c r="U14" s="239" t="n">
        <v>3540</v>
      </c>
      <c r="V14" s="239" t="n">
        <v>9270</v>
      </c>
      <c r="W14" s="239" t="s">
        <v>1216</v>
      </c>
      <c r="X14" s="239" t="s">
        <v>1217</v>
      </c>
      <c r="Y14" s="239" t="s">
        <v>1218</v>
      </c>
      <c r="Z14" s="239" t="n">
        <v>2148</v>
      </c>
      <c r="AA14" s="239" t="s">
        <v>1161</v>
      </c>
      <c r="AB14" s="239" t="n">
        <v>0</v>
      </c>
      <c r="AC14" s="239" t="s">
        <v>1231</v>
      </c>
      <c r="AD14" s="239" t="n">
        <v>1</v>
      </c>
      <c r="AE14" s="239"/>
      <c r="AF14" s="239" t="n">
        <v>1</v>
      </c>
      <c r="AG14" s="266" t="n">
        <v>2</v>
      </c>
      <c r="AH14" s="266" t="n">
        <v>2</v>
      </c>
      <c r="AI14" s="266" t="n">
        <v>4</v>
      </c>
      <c r="AJ14" s="239"/>
    </row>
    <row r="15" customFormat="false" ht="12.65" hidden="false" customHeight="true" outlineLevel="0" collapsed="false">
      <c r="A15" s="260" t="s">
        <v>1250</v>
      </c>
      <c r="B15" s="260" t="s">
        <v>1251</v>
      </c>
      <c r="C15" s="260" t="s">
        <v>1252</v>
      </c>
      <c r="D15" s="260"/>
      <c r="E15" s="268"/>
      <c r="F15" s="240" t="s">
        <v>1253</v>
      </c>
      <c r="G15" s="240"/>
      <c r="H15" s="265" t="s">
        <v>1254</v>
      </c>
      <c r="I15" s="240" t="s">
        <v>1255</v>
      </c>
      <c r="J15" s="267" t="s">
        <v>1189</v>
      </c>
      <c r="K15" s="266" t="s">
        <v>1190</v>
      </c>
      <c r="L15" s="266" t="s">
        <v>1191</v>
      </c>
      <c r="M15" s="266" t="n">
        <v>33960</v>
      </c>
      <c r="N15" s="266" t="n">
        <v>4</v>
      </c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66" t="n">
        <v>1</v>
      </c>
      <c r="AG15" s="266" t="n">
        <v>2</v>
      </c>
      <c r="AH15" s="266" t="n">
        <v>2</v>
      </c>
      <c r="AI15" s="266" t="n">
        <v>4</v>
      </c>
      <c r="AJ15" s="239"/>
    </row>
    <row r="16" customFormat="false" ht="12.65" hidden="false" customHeight="true" outlineLevel="0" collapsed="false">
      <c r="A16" s="260" t="s">
        <v>1256</v>
      </c>
      <c r="B16" s="260" t="s">
        <v>1257</v>
      </c>
      <c r="C16" s="260" t="s">
        <v>1258</v>
      </c>
      <c r="D16" s="260"/>
      <c r="E16" s="260"/>
      <c r="F16" s="240" t="s">
        <v>1259</v>
      </c>
      <c r="G16" s="240"/>
      <c r="AJ16" s="239"/>
    </row>
    <row r="17" customFormat="false" ht="12.65" hidden="false" customHeight="true" outlineLevel="0" collapsed="false">
      <c r="A17" s="260" t="s">
        <v>1260</v>
      </c>
      <c r="B17" s="260" t="s">
        <v>1261</v>
      </c>
      <c r="C17" s="260" t="s">
        <v>1262</v>
      </c>
      <c r="D17" s="260"/>
      <c r="E17" s="260"/>
      <c r="F17" s="240" t="s">
        <v>1263</v>
      </c>
      <c r="G17" s="240"/>
      <c r="AJ17" s="239"/>
    </row>
    <row r="18" customFormat="false" ht="12.65" hidden="false" customHeight="true" outlineLevel="0" collapsed="false">
      <c r="AJ18" s="239"/>
    </row>
    <row r="19" customFormat="false" ht="12.8" hidden="false" customHeight="false" outlineLevel="0" collapsed="false">
      <c r="AJ19" s="239"/>
    </row>
    <row r="20" customFormat="false" ht="12.8" hidden="false" customHeight="false" outlineLevel="0" collapsed="false">
      <c r="AJ20" s="239"/>
    </row>
    <row r="21" customFormat="false" ht="12.8" hidden="false" customHeight="false" outlineLevel="0" collapsed="false">
      <c r="I21" s="240"/>
      <c r="J21" s="240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</row>
    <row r="22" customFormat="false" ht="12.8" hidden="false" customHeight="false" outlineLevel="0" collapsed="false">
      <c r="I22" s="240"/>
      <c r="J22" s="240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</row>
    <row r="23" customFormat="false" ht="12.8" hidden="false" customHeight="false" outlineLevel="0" collapsed="false">
      <c r="I23" s="240"/>
      <c r="J23" s="240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</row>
    <row r="24" customFormat="false" ht="12.8" hidden="false" customHeight="false" outlineLevel="0" collapsed="false">
      <c r="I24" s="240"/>
      <c r="J24" s="240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</row>
    <row r="25" customFormat="false" ht="12.8" hidden="false" customHeight="false" outlineLevel="0" collapsed="false">
      <c r="I25" s="240"/>
      <c r="J25" s="240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</row>
    <row r="26" customFormat="false" ht="12.8" hidden="false" customHeight="false" outlineLevel="0" collapsed="false">
      <c r="I26" s="240"/>
      <c r="J26" s="240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</row>
    <row r="27" customFormat="false" ht="12.8" hidden="false" customHeight="false" outlineLevel="0" collapsed="false">
      <c r="I27" s="240"/>
      <c r="J27" s="240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</row>
    <row r="28" customFormat="false" ht="12.8" hidden="false" customHeight="false" outlineLevel="0" collapsed="false">
      <c r="I28" s="240"/>
      <c r="J28" s="240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135"/>
      <c r="AB28" s="135"/>
      <c r="AC28" s="135"/>
      <c r="AD28" s="135"/>
      <c r="AE28" s="135"/>
      <c r="AF28" s="239"/>
      <c r="AG28" s="135"/>
    </row>
    <row r="29" customFormat="false" ht="12.8" hidden="false" customHeight="false" outlineLevel="0" collapsed="false">
      <c r="I29" s="240"/>
      <c r="J29" s="240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135"/>
      <c r="AB29" s="135"/>
      <c r="AC29" s="135"/>
      <c r="AD29" s="135"/>
      <c r="AE29" s="135"/>
      <c r="AF29" s="239"/>
      <c r="AG29" s="135"/>
    </row>
    <row r="30" customFormat="false" ht="12.8" hidden="false" customHeight="false" outlineLevel="0" collapsed="false">
      <c r="I30" s="240"/>
      <c r="J30" s="240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135"/>
      <c r="AB30" s="135"/>
      <c r="AC30" s="135"/>
      <c r="AD30" s="135"/>
      <c r="AE30" s="135"/>
      <c r="AF30" s="239"/>
      <c r="AG30" s="135"/>
    </row>
    <row r="31" customFormat="false" ht="12.8" hidden="false" customHeight="false" outlineLevel="0" collapsed="false">
      <c r="I31" s="240"/>
      <c r="J31" s="240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135"/>
      <c r="AF31" s="239"/>
    </row>
    <row r="32" customFormat="false" ht="12.8" hidden="false" customHeight="false" outlineLevel="0" collapsed="false">
      <c r="I32" s="240"/>
      <c r="J32" s="240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135"/>
      <c r="AF32" s="239"/>
    </row>
    <row r="33" customFormat="false" ht="12.8" hidden="false" customHeight="false" outlineLevel="0" collapsed="false">
      <c r="I33" s="240"/>
      <c r="J33" s="240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135"/>
      <c r="AF33" s="239"/>
    </row>
    <row r="34" customFormat="false" ht="12.8" hidden="false" customHeight="false" outlineLevel="0" collapsed="false">
      <c r="I34" s="240"/>
      <c r="J34" s="240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135"/>
      <c r="AF34" s="239"/>
    </row>
    <row r="35" customFormat="false" ht="12.8" hidden="false" customHeight="false" outlineLevel="0" collapsed="false">
      <c r="I35" s="240"/>
      <c r="J35" s="240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135"/>
      <c r="AF35" s="239"/>
    </row>
    <row r="36" customFormat="false" ht="12.8" hidden="false" customHeight="false" outlineLevel="0" collapsed="false">
      <c r="I36" s="240"/>
      <c r="J36" s="240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135"/>
      <c r="AF36" s="239"/>
    </row>
    <row r="37" customFormat="false" ht="12.8" hidden="false" customHeight="false" outlineLevel="0" collapsed="false">
      <c r="I37" s="240"/>
      <c r="J37" s="240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135"/>
      <c r="AF37" s="239"/>
    </row>
    <row r="38" customFormat="false" ht="12.8" hidden="false" customHeight="false" outlineLevel="0" collapsed="false">
      <c r="I38" s="240"/>
      <c r="J38" s="240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135"/>
      <c r="AF38" s="239"/>
    </row>
    <row r="39" customFormat="false" ht="12.8" hidden="false" customHeight="false" outlineLevel="0" collapsed="false">
      <c r="I39" s="240"/>
      <c r="J39" s="240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135"/>
      <c r="AF39" s="239"/>
    </row>
    <row r="40" customFormat="false" ht="12.8" hidden="false" customHeight="false" outlineLevel="0" collapsed="false"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F40" s="135"/>
    </row>
    <row r="41" customFormat="false" ht="12.8" hidden="false" customHeight="false" outlineLevel="0" collapsed="false"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F41" s="135"/>
    </row>
    <row r="42" customFormat="false" ht="12.8" hidden="false" customHeight="false" outlineLevel="0" collapsed="false"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F42" s="135"/>
    </row>
    <row r="43" customFormat="false" ht="12.8" hidden="false" customHeight="false" outlineLevel="0" collapsed="false"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F43" s="135"/>
    </row>
    <row r="44" customFormat="false" ht="12.8" hidden="false" customHeight="false" outlineLevel="0" collapsed="false"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F44" s="135"/>
    </row>
    <row r="45" customFormat="false" ht="12.8" hidden="false" customHeight="false" outlineLevel="0" collapsed="false"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F45" s="135"/>
    </row>
    <row r="46" customFormat="false" ht="12.8" hidden="false" customHeight="false" outlineLevel="0" collapsed="false"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F46" s="135"/>
    </row>
    <row r="47" customFormat="false" ht="12.8" hidden="false" customHeight="false" outlineLevel="0" collapsed="false"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F47" s="135"/>
    </row>
    <row r="48" customFormat="false" ht="12.8" hidden="false" customHeight="false" outlineLevel="0" collapsed="false"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F48" s="135"/>
    </row>
    <row r="49" customFormat="false" ht="12.8" hidden="false" customHeight="false" outlineLevel="0" collapsed="false"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F49" s="135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5" activeCellId="0" sqref="P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0" t="s">
        <v>1264</v>
      </c>
      <c r="B1" s="30" t="s">
        <v>1265</v>
      </c>
      <c r="C1" s="30" t="s">
        <v>1266</v>
      </c>
      <c r="D1" s="30" t="s">
        <v>1267</v>
      </c>
    </row>
    <row r="2" customFormat="false" ht="12.8" hidden="false" customHeight="false" outlineLevel="0" collapsed="false">
      <c r="A2" s="182" t="n">
        <v>20</v>
      </c>
      <c r="B2" s="183" t="n">
        <v>1</v>
      </c>
      <c r="C2" s="183" t="n">
        <f aca="false">_xlfn.FLOOR.MATH(A2/B2)</f>
        <v>20</v>
      </c>
      <c r="D2" s="184" t="n">
        <f aca="false">ROUND(((A2/B2) - C2)*B2,0)</f>
        <v>0</v>
      </c>
    </row>
    <row r="3" customFormat="false" ht="12.8" hidden="false" customHeight="false" outlineLevel="0" collapsed="false">
      <c r="A3" s="212" t="n">
        <v>20</v>
      </c>
      <c r="B3" s="213" t="n">
        <f aca="false">B2+1</f>
        <v>2</v>
      </c>
      <c r="C3" s="0" t="n">
        <f aca="false">_xlfn.FLOOR.MATH(A3/B3)</f>
        <v>10</v>
      </c>
      <c r="D3" s="127" t="n">
        <f aca="false">ROUND(((A3/B3) - C3)*B3,0)</f>
        <v>0</v>
      </c>
    </row>
    <row r="4" customFormat="false" ht="12.8" hidden="false" customHeight="false" outlineLevel="0" collapsed="false">
      <c r="A4" s="212" t="n">
        <v>20</v>
      </c>
      <c r="B4" s="213" t="n">
        <f aca="false">B3+1</f>
        <v>3</v>
      </c>
      <c r="C4" s="0" t="n">
        <f aca="false">_xlfn.FLOOR.MATH(A4/B4)</f>
        <v>6</v>
      </c>
      <c r="D4" s="127" t="n">
        <f aca="false">ROUND(((A4/B4) - C4)*B4,0)</f>
        <v>2</v>
      </c>
    </row>
    <row r="5" customFormat="false" ht="12.8" hidden="false" customHeight="false" outlineLevel="0" collapsed="false">
      <c r="A5" s="212" t="n">
        <v>20</v>
      </c>
      <c r="B5" s="213" t="n">
        <f aca="false">B4+1</f>
        <v>4</v>
      </c>
      <c r="C5" s="0" t="n">
        <f aca="false">_xlfn.FLOOR.MATH(A5/B5)</f>
        <v>5</v>
      </c>
      <c r="D5" s="127" t="n">
        <f aca="false">ROUND(((A5/B5) - C5)*B5,0)</f>
        <v>0</v>
      </c>
    </row>
    <row r="6" customFormat="false" ht="12.8" hidden="false" customHeight="false" outlineLevel="0" collapsed="false">
      <c r="A6" s="212" t="n">
        <v>20</v>
      </c>
      <c r="B6" s="213" t="n">
        <f aca="false">B5+1</f>
        <v>5</v>
      </c>
      <c r="C6" s="0" t="n">
        <f aca="false">_xlfn.FLOOR.MATH(A6/B6)</f>
        <v>4</v>
      </c>
      <c r="D6" s="127" t="n">
        <f aca="false">ROUND(((A6/B6) - C6)*B6,0)</f>
        <v>0</v>
      </c>
    </row>
    <row r="7" customFormat="false" ht="12.8" hidden="false" customHeight="false" outlineLevel="0" collapsed="false">
      <c r="A7" s="212" t="n">
        <v>20</v>
      </c>
      <c r="B7" s="213" t="n">
        <f aca="false">B6+1</f>
        <v>6</v>
      </c>
      <c r="C7" s="0" t="n">
        <f aca="false">_xlfn.FLOOR.MATH(A7/B7)</f>
        <v>3</v>
      </c>
      <c r="D7" s="127" t="n">
        <f aca="false">ROUND(((A7/B7) - C7)*B7,0)</f>
        <v>2</v>
      </c>
    </row>
    <row r="8" customFormat="false" ht="12.8" hidden="false" customHeight="false" outlineLevel="0" collapsed="false">
      <c r="A8" s="212" t="n">
        <v>20</v>
      </c>
      <c r="B8" s="213" t="n">
        <f aca="false">B7+1</f>
        <v>7</v>
      </c>
      <c r="C8" s="0" t="n">
        <f aca="false">_xlfn.FLOOR.MATH(A8/B8)</f>
        <v>2</v>
      </c>
      <c r="D8" s="127" t="n">
        <f aca="false">ROUND(((A8/B8) - C8)*B8,0)</f>
        <v>6</v>
      </c>
    </row>
    <row r="9" customFormat="false" ht="12.8" hidden="false" customHeight="false" outlineLevel="0" collapsed="false">
      <c r="A9" s="212" t="n">
        <v>20</v>
      </c>
      <c r="B9" s="213" t="n">
        <f aca="false">B8+1</f>
        <v>8</v>
      </c>
      <c r="C9" s="0" t="n">
        <f aca="false">_xlfn.FLOOR.MATH(A9/B9)</f>
        <v>2</v>
      </c>
      <c r="D9" s="127" t="n">
        <f aca="false">ROUND(((A9/B9) - C9)*B9,0)</f>
        <v>4</v>
      </c>
    </row>
    <row r="10" customFormat="false" ht="12.8" hidden="false" customHeight="false" outlineLevel="0" collapsed="false">
      <c r="A10" s="212" t="n">
        <v>20</v>
      </c>
      <c r="B10" s="213" t="n">
        <f aca="false">B9+1</f>
        <v>9</v>
      </c>
      <c r="C10" s="0" t="n">
        <f aca="false">_xlfn.FLOOR.MATH(A10/B10)</f>
        <v>2</v>
      </c>
      <c r="D10" s="127" t="n">
        <f aca="false">ROUND(((A10/B10) - C10)*B10,0)</f>
        <v>2</v>
      </c>
    </row>
    <row r="11" customFormat="false" ht="12.8" hidden="false" customHeight="false" outlineLevel="0" collapsed="false">
      <c r="A11" s="212" t="n">
        <v>20</v>
      </c>
      <c r="B11" s="213" t="n">
        <f aca="false">B10+1</f>
        <v>10</v>
      </c>
      <c r="C11" s="0" t="n">
        <f aca="false">_xlfn.FLOOR.MATH(A11/B11)</f>
        <v>2</v>
      </c>
      <c r="D11" s="127" t="n">
        <f aca="false">ROUND(((A11/B11) - C11)*B11,0)</f>
        <v>0</v>
      </c>
    </row>
    <row r="12" customFormat="false" ht="12.8" hidden="false" customHeight="false" outlineLevel="0" collapsed="false">
      <c r="A12" s="212" t="n">
        <v>20</v>
      </c>
      <c r="B12" s="213" t="n">
        <f aca="false">B11+1</f>
        <v>11</v>
      </c>
      <c r="C12" s="0" t="n">
        <f aca="false">_xlfn.FLOOR.MATH(A12/B12)</f>
        <v>1</v>
      </c>
      <c r="D12" s="127" t="n">
        <f aca="false">ROUND(((A12/B12) - C12)*B12,0)</f>
        <v>9</v>
      </c>
    </row>
    <row r="13" customFormat="false" ht="12.8" hidden="false" customHeight="false" outlineLevel="0" collapsed="false">
      <c r="A13" s="212" t="n">
        <v>20</v>
      </c>
      <c r="B13" s="213" t="n">
        <f aca="false">B12+1</f>
        <v>12</v>
      </c>
      <c r="C13" s="0" t="n">
        <f aca="false">_xlfn.FLOOR.MATH(A13/B13)</f>
        <v>1</v>
      </c>
      <c r="D13" s="127" t="n">
        <f aca="false">ROUND(((A13/B13) - C13)*B13,0)</f>
        <v>8</v>
      </c>
    </row>
    <row r="14" customFormat="false" ht="12.8" hidden="false" customHeight="false" outlineLevel="0" collapsed="false">
      <c r="A14" s="212" t="n">
        <v>20</v>
      </c>
      <c r="B14" s="213" t="n">
        <f aca="false">B13+1</f>
        <v>13</v>
      </c>
      <c r="C14" s="0" t="n">
        <f aca="false">_xlfn.FLOOR.MATH(A14/B14)</f>
        <v>1</v>
      </c>
      <c r="D14" s="127" t="n">
        <f aca="false">ROUND(((A14/B14) - C14)*B14,0)</f>
        <v>7</v>
      </c>
    </row>
    <row r="15" customFormat="false" ht="12.8" hidden="false" customHeight="false" outlineLevel="0" collapsed="false">
      <c r="A15" s="212" t="n">
        <v>20</v>
      </c>
      <c r="B15" s="213" t="n">
        <f aca="false">B14+1</f>
        <v>14</v>
      </c>
      <c r="C15" s="0" t="n">
        <f aca="false">_xlfn.FLOOR.MATH(A15/B15)</f>
        <v>1</v>
      </c>
      <c r="D15" s="127" t="n">
        <f aca="false">ROUND(((A15/B15) - C15)*B15,0)</f>
        <v>6</v>
      </c>
      <c r="J15" s="0" t="n">
        <v>0</v>
      </c>
      <c r="K15" s="0" t="n">
        <v>8</v>
      </c>
      <c r="L15" s="0" t="n">
        <v>7</v>
      </c>
      <c r="M15" s="135" t="s">
        <v>1268</v>
      </c>
    </row>
    <row r="16" customFormat="false" ht="12.8" hidden="false" customHeight="false" outlineLevel="0" collapsed="false">
      <c r="A16" s="212" t="n">
        <v>20</v>
      </c>
      <c r="B16" s="213" t="n">
        <f aca="false">B15+1</f>
        <v>15</v>
      </c>
      <c r="C16" s="0" t="n">
        <f aca="false">_xlfn.FLOOR.MATH(A16/B16)</f>
        <v>1</v>
      </c>
      <c r="D16" s="127" t="n">
        <f aca="false">ROUND(((A16/B16) - C16)*B16,0)</f>
        <v>5</v>
      </c>
      <c r="I16" s="0" t="n">
        <v>9</v>
      </c>
      <c r="J16" s="0" t="n">
        <v>7</v>
      </c>
      <c r="K16" s="0" t="n">
        <v>8</v>
      </c>
    </row>
    <row r="17" customFormat="false" ht="12.8" hidden="false" customHeight="false" outlineLevel="0" collapsed="false">
      <c r="A17" s="189" t="n">
        <v>20</v>
      </c>
      <c r="B17" s="190" t="n">
        <f aca="false">B16+1</f>
        <v>16</v>
      </c>
      <c r="C17" s="190" t="n">
        <f aca="false">_xlfn.FLOOR.MATH(A17/B17)</f>
        <v>1</v>
      </c>
      <c r="D17" s="191" t="n">
        <f aca="false">ROUND(((A17/B17) - C17)*B17,0)</f>
        <v>4</v>
      </c>
    </row>
    <row r="18" customFormat="false" ht="12.8" hidden="false" customHeight="false" outlineLevel="0" collapsed="false">
      <c r="A18" s="182" t="n">
        <v>19</v>
      </c>
      <c r="B18" s="183" t="n">
        <v>1</v>
      </c>
      <c r="C18" s="183" t="n">
        <f aca="false">_xlfn.FLOOR.MATH(A18/B18)</f>
        <v>19</v>
      </c>
      <c r="D18" s="184" t="n">
        <f aca="false">ROUND(((A18/B18) - C18)*B18,0)</f>
        <v>0</v>
      </c>
      <c r="J18" s="0" t="n">
        <v>7</v>
      </c>
      <c r="K18" s="0" t="n">
        <v>8</v>
      </c>
      <c r="L18" s="0" t="n">
        <v>5</v>
      </c>
    </row>
    <row r="19" customFormat="false" ht="12.8" hidden="false" customHeight="false" outlineLevel="0" collapsed="false">
      <c r="A19" s="212" t="n">
        <v>19</v>
      </c>
      <c r="B19" s="213" t="n">
        <f aca="false">B18+1</f>
        <v>2</v>
      </c>
      <c r="C19" s="0" t="n">
        <f aca="false">_xlfn.FLOOR.MATH(A19/B19)</f>
        <v>9</v>
      </c>
      <c r="D19" s="127" t="n">
        <f aca="false">ROUND(((A19/B19) - C19)*B19,0)</f>
        <v>1</v>
      </c>
    </row>
    <row r="20" customFormat="false" ht="12.8" hidden="false" customHeight="false" outlineLevel="0" collapsed="false">
      <c r="A20" s="212" t="n">
        <v>19</v>
      </c>
      <c r="B20" s="213" t="n">
        <f aca="false">B19+1</f>
        <v>3</v>
      </c>
      <c r="C20" s="0" t="n">
        <f aca="false">_xlfn.FLOOR.MATH(A20/B20)</f>
        <v>6</v>
      </c>
      <c r="D20" s="127" t="n">
        <f aca="false">ROUND(((A20/B20) - C20)*B20,0)</f>
        <v>1</v>
      </c>
      <c r="K20" s="0" t="n">
        <v>6</v>
      </c>
      <c r="L20" s="0" t="n">
        <v>5</v>
      </c>
    </row>
    <row r="21" customFormat="false" ht="12.8" hidden="false" customHeight="false" outlineLevel="0" collapsed="false">
      <c r="A21" s="212" t="n">
        <v>19</v>
      </c>
      <c r="B21" s="213" t="n">
        <f aca="false">B20+1</f>
        <v>4</v>
      </c>
      <c r="C21" s="0" t="n">
        <f aca="false">_xlfn.FLOOR.MATH(A21/B21)</f>
        <v>4</v>
      </c>
      <c r="D21" s="127" t="n">
        <f aca="false">ROUND(((A21/B21) - C21)*B21,0)</f>
        <v>3</v>
      </c>
    </row>
    <row r="22" customFormat="false" ht="12.8" hidden="false" customHeight="false" outlineLevel="0" collapsed="false">
      <c r="A22" s="212" t="n">
        <v>19</v>
      </c>
      <c r="B22" s="213" t="n">
        <f aca="false">B21+1</f>
        <v>5</v>
      </c>
      <c r="C22" s="0" t="n">
        <f aca="false">_xlfn.FLOOR.MATH(A22/B22)</f>
        <v>3</v>
      </c>
      <c r="D22" s="127" t="n">
        <f aca="false">ROUND(((A22/B22) - C22)*B22,0)</f>
        <v>4</v>
      </c>
    </row>
    <row r="23" customFormat="false" ht="12.8" hidden="false" customHeight="false" outlineLevel="0" collapsed="false">
      <c r="A23" s="212" t="n">
        <v>19</v>
      </c>
      <c r="B23" s="213" t="n">
        <f aca="false">B22+1</f>
        <v>6</v>
      </c>
      <c r="C23" s="0" t="n">
        <f aca="false">_xlfn.FLOOR.MATH(A23/B23)</f>
        <v>3</v>
      </c>
      <c r="D23" s="127" t="n">
        <f aca="false">ROUND(((A23/B23) - C23)*B23,0)</f>
        <v>1</v>
      </c>
    </row>
    <row r="24" customFormat="false" ht="12.8" hidden="false" customHeight="false" outlineLevel="0" collapsed="false">
      <c r="A24" s="212" t="n">
        <v>19</v>
      </c>
      <c r="B24" s="213" t="n">
        <f aca="false">B23+1</f>
        <v>7</v>
      </c>
      <c r="C24" s="0" t="n">
        <f aca="false">_xlfn.FLOOR.MATH(A24/B24)</f>
        <v>2</v>
      </c>
      <c r="D24" s="127" t="n">
        <f aca="false">ROUND(((A24/B24) - C24)*B24,0)</f>
        <v>5</v>
      </c>
    </row>
    <row r="25" customFormat="false" ht="12.8" hidden="false" customHeight="false" outlineLevel="0" collapsed="false">
      <c r="A25" s="212" t="n">
        <v>19</v>
      </c>
      <c r="B25" s="213" t="n">
        <f aca="false">B24+1</f>
        <v>8</v>
      </c>
      <c r="C25" s="0" t="n">
        <f aca="false">_xlfn.FLOOR.MATH(A25/B25)</f>
        <v>2</v>
      </c>
      <c r="D25" s="127" t="n">
        <f aca="false">ROUND(((A25/B25) - C25)*B25,0)</f>
        <v>3</v>
      </c>
    </row>
    <row r="26" customFormat="false" ht="12.8" hidden="false" customHeight="false" outlineLevel="0" collapsed="false">
      <c r="A26" s="212" t="n">
        <v>19</v>
      </c>
      <c r="B26" s="213" t="n">
        <f aca="false">B25+1</f>
        <v>9</v>
      </c>
      <c r="C26" s="0" t="n">
        <f aca="false">_xlfn.FLOOR.MATH(A26/B26)</f>
        <v>2</v>
      </c>
      <c r="D26" s="127" t="n">
        <f aca="false">ROUND(((A26/B26) - C26)*B26,0)</f>
        <v>1</v>
      </c>
    </row>
    <row r="27" customFormat="false" ht="12.8" hidden="false" customHeight="false" outlineLevel="0" collapsed="false">
      <c r="A27" s="212" t="n">
        <v>19</v>
      </c>
      <c r="B27" s="213" t="n">
        <f aca="false">B26+1</f>
        <v>10</v>
      </c>
      <c r="C27" s="0" t="n">
        <f aca="false">_xlfn.FLOOR.MATH(A27/B27)</f>
        <v>1</v>
      </c>
      <c r="D27" s="127" t="n">
        <f aca="false">ROUND(((A27/B27) - C27)*B27,0)</f>
        <v>9</v>
      </c>
    </row>
    <row r="28" customFormat="false" ht="12.8" hidden="false" customHeight="false" outlineLevel="0" collapsed="false">
      <c r="A28" s="212" t="n">
        <v>19</v>
      </c>
      <c r="B28" s="213" t="n">
        <f aca="false">B27+1</f>
        <v>11</v>
      </c>
      <c r="C28" s="0" t="n">
        <f aca="false">_xlfn.FLOOR.MATH(A28/B28)</f>
        <v>1</v>
      </c>
      <c r="D28" s="127" t="n">
        <f aca="false">ROUND(((A28/B28) - C28)*B28,0)</f>
        <v>8</v>
      </c>
    </row>
    <row r="29" customFormat="false" ht="12.8" hidden="false" customHeight="false" outlineLevel="0" collapsed="false">
      <c r="A29" s="212" t="n">
        <v>19</v>
      </c>
      <c r="B29" s="213" t="n">
        <f aca="false">B28+1</f>
        <v>12</v>
      </c>
      <c r="C29" s="0" t="n">
        <f aca="false">_xlfn.FLOOR.MATH(A29/B29)</f>
        <v>1</v>
      </c>
      <c r="D29" s="127" t="n">
        <f aca="false">ROUND(((A29/B29) - C29)*B29,0)</f>
        <v>7</v>
      </c>
    </row>
    <row r="30" customFormat="false" ht="12.8" hidden="false" customHeight="false" outlineLevel="0" collapsed="false">
      <c r="A30" s="212" t="n">
        <v>19</v>
      </c>
      <c r="B30" s="213" t="n">
        <f aca="false">B29+1</f>
        <v>13</v>
      </c>
      <c r="C30" s="0" t="n">
        <f aca="false">_xlfn.FLOOR.MATH(A30/B30)</f>
        <v>1</v>
      </c>
      <c r="D30" s="127" t="n">
        <f aca="false">ROUND(((A30/B30) - C30)*B30,0)</f>
        <v>6</v>
      </c>
    </row>
    <row r="31" customFormat="false" ht="12.8" hidden="false" customHeight="false" outlineLevel="0" collapsed="false">
      <c r="A31" s="212" t="n">
        <v>19</v>
      </c>
      <c r="B31" s="213" t="n">
        <f aca="false">B30+1</f>
        <v>14</v>
      </c>
      <c r="C31" s="0" t="n">
        <f aca="false">_xlfn.FLOOR.MATH(A31/B31)</f>
        <v>1</v>
      </c>
      <c r="D31" s="127" t="n">
        <f aca="false">ROUND(((A31/B31) - C31)*B31,0)</f>
        <v>5</v>
      </c>
    </row>
    <row r="32" customFormat="false" ht="12.8" hidden="false" customHeight="false" outlineLevel="0" collapsed="false">
      <c r="A32" s="212" t="n">
        <v>19</v>
      </c>
      <c r="B32" s="213" t="n">
        <f aca="false">B31+1</f>
        <v>15</v>
      </c>
      <c r="C32" s="0" t="n">
        <f aca="false">_xlfn.FLOOR.MATH(A32/B32)</f>
        <v>1</v>
      </c>
      <c r="D32" s="127" t="n">
        <f aca="false">ROUND(((A32/B32) - C32)*B32,0)</f>
        <v>4</v>
      </c>
    </row>
    <row r="33" customFormat="false" ht="12.8" hidden="false" customHeight="false" outlineLevel="0" collapsed="false">
      <c r="A33" s="189" t="n">
        <v>19</v>
      </c>
      <c r="B33" s="190" t="n">
        <f aca="false">B32+1</f>
        <v>16</v>
      </c>
      <c r="C33" s="190" t="n">
        <f aca="false">_xlfn.FLOOR.MATH(A33/B33)</f>
        <v>1</v>
      </c>
      <c r="D33" s="191" t="n">
        <f aca="false">ROUND(((A33/B33) - C33)*B33,0)</f>
        <v>3</v>
      </c>
    </row>
    <row r="34" customFormat="false" ht="12.8" hidden="false" customHeight="false" outlineLevel="0" collapsed="false">
      <c r="A34" s="182" t="n">
        <v>18</v>
      </c>
      <c r="B34" s="183" t="n">
        <v>1</v>
      </c>
      <c r="C34" s="183" t="n">
        <f aca="false">_xlfn.FLOOR.MATH(A34/B34)</f>
        <v>18</v>
      </c>
      <c r="D34" s="184" t="n">
        <f aca="false">ROUND(((A34/B34) - C34)*B34,0)</f>
        <v>0</v>
      </c>
    </row>
    <row r="35" customFormat="false" ht="12.8" hidden="false" customHeight="false" outlineLevel="0" collapsed="false">
      <c r="A35" s="212" t="n">
        <v>18</v>
      </c>
      <c r="B35" s="0" t="n">
        <f aca="false">B34+1</f>
        <v>2</v>
      </c>
      <c r="C35" s="0" t="n">
        <f aca="false">_xlfn.FLOOR.MATH(A35/B35)</f>
        <v>9</v>
      </c>
      <c r="D35" s="127" t="n">
        <f aca="false">ROUND(((A35/B35) - C35)*B35,0)</f>
        <v>0</v>
      </c>
    </row>
    <row r="36" customFormat="false" ht="12.8" hidden="false" customHeight="false" outlineLevel="0" collapsed="false">
      <c r="A36" s="212" t="n">
        <v>18</v>
      </c>
      <c r="B36" s="0" t="n">
        <f aca="false">B35+1</f>
        <v>3</v>
      </c>
      <c r="C36" s="0" t="n">
        <f aca="false">_xlfn.FLOOR.MATH(A36/B36)</f>
        <v>6</v>
      </c>
      <c r="D36" s="127" t="n">
        <f aca="false">ROUND(((A36/B36) - C36)*B36,0)</f>
        <v>0</v>
      </c>
    </row>
    <row r="37" customFormat="false" ht="12.8" hidden="false" customHeight="false" outlineLevel="0" collapsed="false">
      <c r="A37" s="212" t="n">
        <v>18</v>
      </c>
      <c r="B37" s="0" t="n">
        <f aca="false">B36+1</f>
        <v>4</v>
      </c>
      <c r="C37" s="0" t="n">
        <f aca="false">_xlfn.FLOOR.MATH(A37/B37)</f>
        <v>4</v>
      </c>
      <c r="D37" s="127" t="n">
        <f aca="false">ROUND(((A37/B37) - C37)*B37,0)</f>
        <v>2</v>
      </c>
    </row>
    <row r="38" customFormat="false" ht="12.8" hidden="false" customHeight="false" outlineLevel="0" collapsed="false">
      <c r="A38" s="212" t="n">
        <v>18</v>
      </c>
      <c r="B38" s="0" t="n">
        <f aca="false">B37+1</f>
        <v>5</v>
      </c>
      <c r="C38" s="0" t="n">
        <f aca="false">_xlfn.FLOOR.MATH(A38/B38)</f>
        <v>3</v>
      </c>
      <c r="D38" s="127" t="n">
        <f aca="false">ROUND(((A38/B38) - C38)*B38,0)</f>
        <v>3</v>
      </c>
    </row>
    <row r="39" customFormat="false" ht="12.8" hidden="false" customHeight="false" outlineLevel="0" collapsed="false">
      <c r="A39" s="212" t="n">
        <v>18</v>
      </c>
      <c r="B39" s="0" t="n">
        <f aca="false">B38+1</f>
        <v>6</v>
      </c>
      <c r="C39" s="0" t="n">
        <f aca="false">_xlfn.FLOOR.MATH(A39/B39)</f>
        <v>3</v>
      </c>
      <c r="D39" s="127" t="n">
        <f aca="false">ROUND(((A39/B39) - C39)*B39,0)</f>
        <v>0</v>
      </c>
    </row>
    <row r="40" customFormat="false" ht="12.8" hidden="false" customHeight="false" outlineLevel="0" collapsed="false">
      <c r="A40" s="212" t="n">
        <v>18</v>
      </c>
      <c r="B40" s="0" t="n">
        <f aca="false">B39+1</f>
        <v>7</v>
      </c>
      <c r="C40" s="0" t="n">
        <f aca="false">_xlfn.FLOOR.MATH(A40/B40)</f>
        <v>2</v>
      </c>
      <c r="D40" s="127" t="n">
        <f aca="false">ROUND(((A40/B40) - C40)*B40,0)</f>
        <v>4</v>
      </c>
    </row>
    <row r="41" customFormat="false" ht="12.8" hidden="false" customHeight="false" outlineLevel="0" collapsed="false">
      <c r="A41" s="212" t="n">
        <v>18</v>
      </c>
      <c r="B41" s="0" t="n">
        <f aca="false">B40+1</f>
        <v>8</v>
      </c>
      <c r="C41" s="0" t="n">
        <f aca="false">_xlfn.FLOOR.MATH(A41/B41)</f>
        <v>2</v>
      </c>
      <c r="D41" s="127" t="n">
        <f aca="false">ROUND(((A41/B41) - C41)*B41,0)</f>
        <v>2</v>
      </c>
    </row>
    <row r="42" customFormat="false" ht="12.8" hidden="false" customHeight="false" outlineLevel="0" collapsed="false">
      <c r="A42" s="212" t="n">
        <v>18</v>
      </c>
      <c r="B42" s="0" t="n">
        <f aca="false">B41+1</f>
        <v>9</v>
      </c>
      <c r="C42" s="0" t="n">
        <f aca="false">_xlfn.FLOOR.MATH(A42/B42)</f>
        <v>2</v>
      </c>
      <c r="D42" s="127" t="n">
        <f aca="false">ROUND(((A42/B42) - C42)*B42,0)</f>
        <v>0</v>
      </c>
    </row>
    <row r="43" customFormat="false" ht="12.8" hidden="false" customHeight="false" outlineLevel="0" collapsed="false">
      <c r="A43" s="212" t="n">
        <v>18</v>
      </c>
      <c r="B43" s="0" t="n">
        <f aca="false">B42+1</f>
        <v>10</v>
      </c>
      <c r="C43" s="0" t="n">
        <f aca="false">_xlfn.FLOOR.MATH(A43/B43)</f>
        <v>1</v>
      </c>
      <c r="D43" s="127" t="n">
        <f aca="false">ROUND(((A43/B43) - C43)*B43,0)</f>
        <v>8</v>
      </c>
    </row>
    <row r="44" customFormat="false" ht="12.8" hidden="false" customHeight="false" outlineLevel="0" collapsed="false">
      <c r="A44" s="212" t="n">
        <v>18</v>
      </c>
      <c r="B44" s="0" t="n">
        <f aca="false">B43+1</f>
        <v>11</v>
      </c>
      <c r="C44" s="0" t="n">
        <f aca="false">_xlfn.FLOOR.MATH(A44/B44)</f>
        <v>1</v>
      </c>
      <c r="D44" s="127" t="n">
        <f aca="false">ROUND(((A44/B44) - C44)*B44,0)</f>
        <v>7</v>
      </c>
    </row>
    <row r="45" customFormat="false" ht="12.8" hidden="false" customHeight="false" outlineLevel="0" collapsed="false">
      <c r="A45" s="212" t="n">
        <v>18</v>
      </c>
      <c r="B45" s="0" t="n">
        <f aca="false">B44+1</f>
        <v>12</v>
      </c>
      <c r="C45" s="0" t="n">
        <f aca="false">_xlfn.FLOOR.MATH(A45/B45)</f>
        <v>1</v>
      </c>
      <c r="D45" s="127" t="n">
        <f aca="false">ROUND(((A45/B45) - C45)*B45,0)</f>
        <v>6</v>
      </c>
    </row>
    <row r="46" customFormat="false" ht="12.8" hidden="false" customHeight="false" outlineLevel="0" collapsed="false">
      <c r="A46" s="212" t="n">
        <v>18</v>
      </c>
      <c r="B46" s="0" t="n">
        <f aca="false">B45+1</f>
        <v>13</v>
      </c>
      <c r="C46" s="0" t="n">
        <f aca="false">_xlfn.FLOOR.MATH(A46/B46)</f>
        <v>1</v>
      </c>
      <c r="D46" s="127" t="n">
        <f aca="false">ROUND(((A46/B46) - C46)*B46,0)</f>
        <v>5</v>
      </c>
    </row>
    <row r="47" customFormat="false" ht="12.8" hidden="false" customHeight="false" outlineLevel="0" collapsed="false">
      <c r="A47" s="212" t="n">
        <v>18</v>
      </c>
      <c r="B47" s="0" t="n">
        <f aca="false">B46+1</f>
        <v>14</v>
      </c>
      <c r="C47" s="0" t="n">
        <f aca="false">_xlfn.FLOOR.MATH(A47/B47)</f>
        <v>1</v>
      </c>
      <c r="D47" s="127" t="n">
        <f aca="false">ROUND(((A47/B47) - C47)*B47,0)</f>
        <v>4</v>
      </c>
    </row>
    <row r="48" customFormat="false" ht="12.8" hidden="false" customHeight="false" outlineLevel="0" collapsed="false">
      <c r="A48" s="212" t="n">
        <v>18</v>
      </c>
      <c r="B48" s="0" t="n">
        <f aca="false">B47+1</f>
        <v>15</v>
      </c>
      <c r="C48" s="0" t="n">
        <f aca="false">_xlfn.FLOOR.MATH(A48/B48)</f>
        <v>1</v>
      </c>
      <c r="D48" s="127" t="n">
        <f aca="false">ROUND(((A48/B48) - C48)*B48,0)</f>
        <v>3</v>
      </c>
    </row>
    <row r="49" customFormat="false" ht="12.8" hidden="false" customHeight="false" outlineLevel="0" collapsed="false">
      <c r="A49" s="189" t="n">
        <v>18</v>
      </c>
      <c r="B49" s="190" t="n">
        <f aca="false">B48+1</f>
        <v>16</v>
      </c>
      <c r="C49" s="190" t="n">
        <f aca="false">_xlfn.FLOOR.MATH(A49/B49)</f>
        <v>1</v>
      </c>
      <c r="D49" s="191" t="n">
        <f aca="false">ROUND(((A49/B49) - C49)*B49,0)</f>
        <v>2</v>
      </c>
    </row>
    <row r="50" customFormat="false" ht="12.8" hidden="false" customHeight="false" outlineLevel="0" collapsed="false">
      <c r="A50" s="182" t="n">
        <v>17</v>
      </c>
      <c r="B50" s="183" t="n">
        <v>1</v>
      </c>
      <c r="C50" s="183" t="n">
        <f aca="false">_xlfn.FLOOR.MATH(A50/B50)</f>
        <v>17</v>
      </c>
      <c r="D50" s="184" t="n">
        <f aca="false">ROUND(((A50/B50) - C50)*B50,0)</f>
        <v>0</v>
      </c>
    </row>
    <row r="51" customFormat="false" ht="12.8" hidden="false" customHeight="false" outlineLevel="0" collapsed="false">
      <c r="A51" s="212" t="n">
        <v>17</v>
      </c>
      <c r="B51" s="0" t="n">
        <f aca="false">B50+1</f>
        <v>2</v>
      </c>
      <c r="C51" s="0" t="n">
        <f aca="false">_xlfn.FLOOR.MATH(A51/B51)</f>
        <v>8</v>
      </c>
      <c r="D51" s="127" t="n">
        <f aca="false">ROUND(((A51/B51) - C51)*B51,0)</f>
        <v>1</v>
      </c>
    </row>
    <row r="52" customFormat="false" ht="12.8" hidden="false" customHeight="false" outlineLevel="0" collapsed="false">
      <c r="A52" s="212" t="n">
        <v>17</v>
      </c>
      <c r="B52" s="0" t="n">
        <f aca="false">B51+1</f>
        <v>3</v>
      </c>
      <c r="C52" s="0" t="n">
        <f aca="false">_xlfn.FLOOR.MATH(A52/B52)</f>
        <v>5</v>
      </c>
      <c r="D52" s="127" t="n">
        <f aca="false">ROUND(((A52/B52) - C52)*B52,0)</f>
        <v>2</v>
      </c>
    </row>
    <row r="53" customFormat="false" ht="12.8" hidden="false" customHeight="false" outlineLevel="0" collapsed="false">
      <c r="A53" s="212" t="n">
        <v>17</v>
      </c>
      <c r="B53" s="0" t="n">
        <f aca="false">B52+1</f>
        <v>4</v>
      </c>
      <c r="C53" s="0" t="n">
        <f aca="false">_xlfn.FLOOR.MATH(A53/B53)</f>
        <v>4</v>
      </c>
      <c r="D53" s="127" t="n">
        <f aca="false">ROUND(((A53/B53) - C53)*B53,0)</f>
        <v>1</v>
      </c>
    </row>
    <row r="54" customFormat="false" ht="12.8" hidden="false" customHeight="false" outlineLevel="0" collapsed="false">
      <c r="A54" s="212" t="n">
        <v>17</v>
      </c>
      <c r="B54" s="0" t="n">
        <f aca="false">B53+1</f>
        <v>5</v>
      </c>
      <c r="C54" s="0" t="n">
        <f aca="false">_xlfn.FLOOR.MATH(A54/B54)</f>
        <v>3</v>
      </c>
      <c r="D54" s="127" t="n">
        <f aca="false">ROUND(((A54/B54) - C54)*B54,0)</f>
        <v>2</v>
      </c>
    </row>
    <row r="55" customFormat="false" ht="12.8" hidden="false" customHeight="false" outlineLevel="0" collapsed="false">
      <c r="A55" s="212" t="n">
        <v>17</v>
      </c>
      <c r="B55" s="0" t="n">
        <f aca="false">B54+1</f>
        <v>6</v>
      </c>
      <c r="C55" s="0" t="n">
        <f aca="false">_xlfn.FLOOR.MATH(A55/B55)</f>
        <v>2</v>
      </c>
      <c r="D55" s="127" t="n">
        <f aca="false">ROUND(((A55/B55) - C55)*B55,0)</f>
        <v>5</v>
      </c>
    </row>
    <row r="56" customFormat="false" ht="12.8" hidden="false" customHeight="false" outlineLevel="0" collapsed="false">
      <c r="A56" s="212" t="n">
        <v>17</v>
      </c>
      <c r="B56" s="0" t="n">
        <f aca="false">B55+1</f>
        <v>7</v>
      </c>
      <c r="C56" s="0" t="n">
        <f aca="false">_xlfn.FLOOR.MATH(A56/B56)</f>
        <v>2</v>
      </c>
      <c r="D56" s="127" t="n">
        <f aca="false">ROUND(((A56/B56) - C56)*B56,0)</f>
        <v>3</v>
      </c>
    </row>
    <row r="57" customFormat="false" ht="12.8" hidden="false" customHeight="false" outlineLevel="0" collapsed="false">
      <c r="A57" s="212" t="n">
        <v>17</v>
      </c>
      <c r="B57" s="0" t="n">
        <f aca="false">B56+1</f>
        <v>8</v>
      </c>
      <c r="C57" s="0" t="n">
        <f aca="false">_xlfn.FLOOR.MATH(A57/B57)</f>
        <v>2</v>
      </c>
      <c r="D57" s="127" t="n">
        <f aca="false">ROUND(((A57/B57) - C57)*B57,0)</f>
        <v>1</v>
      </c>
    </row>
    <row r="58" customFormat="false" ht="12.8" hidden="false" customHeight="false" outlineLevel="0" collapsed="false">
      <c r="A58" s="212" t="n">
        <v>17</v>
      </c>
      <c r="B58" s="0" t="n">
        <f aca="false">B57+1</f>
        <v>9</v>
      </c>
      <c r="C58" s="0" t="n">
        <f aca="false">_xlfn.FLOOR.MATH(A58/B58)</f>
        <v>1</v>
      </c>
      <c r="D58" s="127" t="n">
        <f aca="false">ROUND(((A58/B58) - C58)*B58,0)</f>
        <v>8</v>
      </c>
    </row>
    <row r="59" customFormat="false" ht="12.8" hidden="false" customHeight="false" outlineLevel="0" collapsed="false">
      <c r="A59" s="212" t="n">
        <v>17</v>
      </c>
      <c r="B59" s="0" t="n">
        <f aca="false">B58+1</f>
        <v>10</v>
      </c>
      <c r="C59" s="0" t="n">
        <f aca="false">_xlfn.FLOOR.MATH(A59/B59)</f>
        <v>1</v>
      </c>
      <c r="D59" s="127" t="n">
        <f aca="false">ROUND(((A59/B59) - C59)*B59,0)</f>
        <v>7</v>
      </c>
    </row>
    <row r="60" customFormat="false" ht="12.8" hidden="false" customHeight="false" outlineLevel="0" collapsed="false">
      <c r="A60" s="212" t="n">
        <v>17</v>
      </c>
      <c r="B60" s="0" t="n">
        <f aca="false">B59+1</f>
        <v>11</v>
      </c>
      <c r="C60" s="0" t="n">
        <f aca="false">_xlfn.FLOOR.MATH(A60/B60)</f>
        <v>1</v>
      </c>
      <c r="D60" s="127" t="n">
        <f aca="false">ROUND(((A60/B60) - C60)*B60,0)</f>
        <v>6</v>
      </c>
    </row>
    <row r="61" customFormat="false" ht="12.8" hidden="false" customHeight="false" outlineLevel="0" collapsed="false">
      <c r="A61" s="212" t="n">
        <v>17</v>
      </c>
      <c r="B61" s="0" t="n">
        <f aca="false">B60+1</f>
        <v>12</v>
      </c>
      <c r="C61" s="0" t="n">
        <f aca="false">_xlfn.FLOOR.MATH(A61/B61)</f>
        <v>1</v>
      </c>
      <c r="D61" s="127" t="n">
        <f aca="false">ROUND(((A61/B61) - C61)*B61,0)</f>
        <v>5</v>
      </c>
    </row>
    <row r="62" customFormat="false" ht="12.8" hidden="false" customHeight="false" outlineLevel="0" collapsed="false">
      <c r="A62" s="212" t="n">
        <v>17</v>
      </c>
      <c r="B62" s="0" t="n">
        <f aca="false">B61+1</f>
        <v>13</v>
      </c>
      <c r="C62" s="0" t="n">
        <f aca="false">_xlfn.FLOOR.MATH(A62/B62)</f>
        <v>1</v>
      </c>
      <c r="D62" s="127" t="n">
        <f aca="false">ROUND(((A62/B62) - C62)*B62,0)</f>
        <v>4</v>
      </c>
    </row>
    <row r="63" customFormat="false" ht="12.8" hidden="false" customHeight="false" outlineLevel="0" collapsed="false">
      <c r="A63" s="212" t="n">
        <v>17</v>
      </c>
      <c r="B63" s="0" t="n">
        <f aca="false">B62+1</f>
        <v>14</v>
      </c>
      <c r="C63" s="0" t="n">
        <f aca="false">_xlfn.FLOOR.MATH(A63/B63)</f>
        <v>1</v>
      </c>
      <c r="D63" s="127" t="n">
        <f aca="false">ROUND(((A63/B63) - C63)*B63,0)</f>
        <v>3</v>
      </c>
    </row>
    <row r="64" customFormat="false" ht="12.8" hidden="false" customHeight="false" outlineLevel="0" collapsed="false">
      <c r="A64" s="212" t="n">
        <v>17</v>
      </c>
      <c r="B64" s="0" t="n">
        <f aca="false">B63+1</f>
        <v>15</v>
      </c>
      <c r="C64" s="0" t="n">
        <f aca="false">_xlfn.FLOOR.MATH(A64/B64)</f>
        <v>1</v>
      </c>
      <c r="D64" s="127" t="n">
        <f aca="false">ROUND(((A64/B64) - C64)*B64,0)</f>
        <v>2</v>
      </c>
    </row>
    <row r="65" customFormat="false" ht="12.8" hidden="false" customHeight="false" outlineLevel="0" collapsed="false">
      <c r="A65" s="189" t="n">
        <v>17</v>
      </c>
      <c r="B65" s="190" t="n">
        <f aca="false">B64+1</f>
        <v>16</v>
      </c>
      <c r="C65" s="190" t="n">
        <f aca="false">_xlfn.FLOOR.MATH(A65/B65)</f>
        <v>1</v>
      </c>
      <c r="D65" s="191" t="n">
        <f aca="false">ROUND(((A65/B65) - C65)*B65,0)</f>
        <v>1</v>
      </c>
    </row>
    <row r="66" customFormat="false" ht="12.8" hidden="false" customHeight="false" outlineLevel="0" collapsed="false">
      <c r="A66" s="182" t="n">
        <v>16</v>
      </c>
      <c r="B66" s="183" t="n">
        <v>1</v>
      </c>
      <c r="C66" s="183" t="n">
        <f aca="false">_xlfn.FLOOR.MATH(A66/B66)</f>
        <v>16</v>
      </c>
      <c r="D66" s="184" t="n">
        <f aca="false">ROUND(((A66/B66) - C66)*B66,0)</f>
        <v>0</v>
      </c>
    </row>
    <row r="67" customFormat="false" ht="12.8" hidden="false" customHeight="false" outlineLevel="0" collapsed="false">
      <c r="A67" s="212" t="n">
        <v>16</v>
      </c>
      <c r="B67" s="213" t="n">
        <f aca="false">B66+1</f>
        <v>2</v>
      </c>
      <c r="C67" s="0" t="n">
        <f aca="false">_xlfn.FLOOR.MATH(A67/B67)</f>
        <v>8</v>
      </c>
      <c r="D67" s="127" t="n">
        <f aca="false">ROUND(((A67/B67) - C67)*B67,0)</f>
        <v>0</v>
      </c>
    </row>
    <row r="68" customFormat="false" ht="12.8" hidden="false" customHeight="false" outlineLevel="0" collapsed="false">
      <c r="A68" s="212" t="n">
        <v>16</v>
      </c>
      <c r="B68" s="213" t="n">
        <f aca="false">B67+1</f>
        <v>3</v>
      </c>
      <c r="C68" s="0" t="n">
        <f aca="false">_xlfn.FLOOR.MATH(A68/B68)</f>
        <v>5</v>
      </c>
      <c r="D68" s="127" t="n">
        <f aca="false">ROUND(((A68/B68) - C68)*B68,0)</f>
        <v>1</v>
      </c>
    </row>
    <row r="69" customFormat="false" ht="12.8" hidden="false" customHeight="false" outlineLevel="0" collapsed="false">
      <c r="A69" s="212" t="n">
        <v>16</v>
      </c>
      <c r="B69" s="213" t="n">
        <f aca="false">B68+1</f>
        <v>4</v>
      </c>
      <c r="C69" s="0" t="n">
        <f aca="false">_xlfn.FLOOR.MATH(A69/B69)</f>
        <v>4</v>
      </c>
      <c r="D69" s="127" t="n">
        <f aca="false">ROUND(((A69/B69) - C69)*B69,0)</f>
        <v>0</v>
      </c>
    </row>
    <row r="70" customFormat="false" ht="12.8" hidden="false" customHeight="false" outlineLevel="0" collapsed="false">
      <c r="A70" s="212" t="n">
        <v>16</v>
      </c>
      <c r="B70" s="213" t="n">
        <f aca="false">B69+1</f>
        <v>5</v>
      </c>
      <c r="C70" s="0" t="n">
        <f aca="false">_xlfn.FLOOR.MATH(A70/B70)</f>
        <v>3</v>
      </c>
      <c r="D70" s="127" t="n">
        <f aca="false">ROUND(((A70/B70) - C70)*B70,0)</f>
        <v>1</v>
      </c>
    </row>
    <row r="71" customFormat="false" ht="12.8" hidden="false" customHeight="false" outlineLevel="0" collapsed="false">
      <c r="A71" s="212" t="n">
        <v>16</v>
      </c>
      <c r="B71" s="213" t="n">
        <f aca="false">B70+1</f>
        <v>6</v>
      </c>
      <c r="C71" s="0" t="n">
        <f aca="false">_xlfn.FLOOR.MATH(A71/B71)</f>
        <v>2</v>
      </c>
      <c r="D71" s="127" t="n">
        <f aca="false">ROUND(((A71/B71) - C71)*B71,0)</f>
        <v>4</v>
      </c>
    </row>
    <row r="72" customFormat="false" ht="12.8" hidden="false" customHeight="false" outlineLevel="0" collapsed="false">
      <c r="A72" s="212" t="n">
        <v>16</v>
      </c>
      <c r="B72" s="213" t="n">
        <f aca="false">B71+1</f>
        <v>7</v>
      </c>
      <c r="C72" s="0" t="n">
        <f aca="false">_xlfn.FLOOR.MATH(A72/B72)</f>
        <v>2</v>
      </c>
      <c r="D72" s="127" t="n">
        <f aca="false">ROUND(((A72/B72) - C72)*B72,0)</f>
        <v>2</v>
      </c>
    </row>
    <row r="73" customFormat="false" ht="12.8" hidden="false" customHeight="false" outlineLevel="0" collapsed="false">
      <c r="A73" s="212" t="n">
        <v>16</v>
      </c>
      <c r="B73" s="213" t="n">
        <f aca="false">B72+1</f>
        <v>8</v>
      </c>
      <c r="C73" s="0" t="n">
        <f aca="false">_xlfn.FLOOR.MATH(A73/B73)</f>
        <v>2</v>
      </c>
      <c r="D73" s="127" t="n">
        <f aca="false">ROUND(((A73/B73) - C73)*B73,0)</f>
        <v>0</v>
      </c>
    </row>
    <row r="74" customFormat="false" ht="12.8" hidden="false" customHeight="false" outlineLevel="0" collapsed="false">
      <c r="A74" s="212" t="n">
        <v>16</v>
      </c>
      <c r="B74" s="213" t="n">
        <f aca="false">B73+1</f>
        <v>9</v>
      </c>
      <c r="C74" s="0" t="n">
        <f aca="false">_xlfn.FLOOR.MATH(A74/B74)</f>
        <v>1</v>
      </c>
      <c r="D74" s="127" t="n">
        <f aca="false">ROUND(((A74/B74) - C74)*B74,0)</f>
        <v>7</v>
      </c>
    </row>
    <row r="75" customFormat="false" ht="12.8" hidden="false" customHeight="false" outlineLevel="0" collapsed="false">
      <c r="A75" s="212" t="n">
        <v>16</v>
      </c>
      <c r="B75" s="213" t="n">
        <f aca="false">B74+1</f>
        <v>10</v>
      </c>
      <c r="C75" s="0" t="n">
        <f aca="false">_xlfn.FLOOR.MATH(A75/B75)</f>
        <v>1</v>
      </c>
      <c r="D75" s="127" t="n">
        <f aca="false">ROUND(((A75/B75) - C75)*B75,0)</f>
        <v>6</v>
      </c>
    </row>
    <row r="76" customFormat="false" ht="12.8" hidden="false" customHeight="false" outlineLevel="0" collapsed="false">
      <c r="A76" s="212" t="n">
        <v>16</v>
      </c>
      <c r="B76" s="213" t="n">
        <f aca="false">B75+1</f>
        <v>11</v>
      </c>
      <c r="C76" s="0" t="n">
        <f aca="false">_xlfn.FLOOR.MATH(A76/B76)</f>
        <v>1</v>
      </c>
      <c r="D76" s="127" t="n">
        <f aca="false">ROUND(((A76/B76) - C76)*B76,0)</f>
        <v>5</v>
      </c>
    </row>
    <row r="77" customFormat="false" ht="12.8" hidden="false" customHeight="false" outlineLevel="0" collapsed="false">
      <c r="A77" s="212" t="n">
        <v>16</v>
      </c>
      <c r="B77" s="213" t="n">
        <f aca="false">B76+1</f>
        <v>12</v>
      </c>
      <c r="C77" s="0" t="n">
        <f aca="false">_xlfn.FLOOR.MATH(A77/B77)</f>
        <v>1</v>
      </c>
      <c r="D77" s="127" t="n">
        <f aca="false">ROUND(((A77/B77) - C77)*B77,0)</f>
        <v>4</v>
      </c>
    </row>
    <row r="78" customFormat="false" ht="12.8" hidden="false" customHeight="false" outlineLevel="0" collapsed="false">
      <c r="A78" s="212" t="n">
        <v>16</v>
      </c>
      <c r="B78" s="213" t="n">
        <f aca="false">B77+1</f>
        <v>13</v>
      </c>
      <c r="C78" s="0" t="n">
        <f aca="false">_xlfn.FLOOR.MATH(A78/B78)</f>
        <v>1</v>
      </c>
      <c r="D78" s="127" t="n">
        <f aca="false">ROUND(((A78/B78) - C78)*B78,0)</f>
        <v>3</v>
      </c>
    </row>
    <row r="79" customFormat="false" ht="12.8" hidden="false" customHeight="false" outlineLevel="0" collapsed="false">
      <c r="A79" s="212" t="n">
        <v>16</v>
      </c>
      <c r="B79" s="213" t="n">
        <f aca="false">B78+1</f>
        <v>14</v>
      </c>
      <c r="C79" s="0" t="n">
        <f aca="false">_xlfn.FLOOR.MATH(A79/B79)</f>
        <v>1</v>
      </c>
      <c r="D79" s="127" t="n">
        <f aca="false">ROUND(((A79/B79) - C79)*B79,0)</f>
        <v>2</v>
      </c>
    </row>
    <row r="80" customFormat="false" ht="12.8" hidden="false" customHeight="false" outlineLevel="0" collapsed="false">
      <c r="A80" s="212" t="n">
        <v>16</v>
      </c>
      <c r="B80" s="213" t="n">
        <f aca="false">B79+1</f>
        <v>15</v>
      </c>
      <c r="C80" s="0" t="n">
        <f aca="false">_xlfn.FLOOR.MATH(A80/B80)</f>
        <v>1</v>
      </c>
      <c r="D80" s="127" t="n">
        <f aca="false">ROUND(((A80/B80) - C80)*B80,0)</f>
        <v>1</v>
      </c>
    </row>
    <row r="81" customFormat="false" ht="12.8" hidden="false" customHeight="false" outlineLevel="0" collapsed="false">
      <c r="A81" s="189" t="n">
        <v>16</v>
      </c>
      <c r="B81" s="190" t="n">
        <f aca="false">B80+1</f>
        <v>16</v>
      </c>
      <c r="C81" s="190" t="n">
        <f aca="false">A81/B81</f>
        <v>1</v>
      </c>
      <c r="D81" s="191" t="n">
        <f aca="false">ROUND(((A81/B81) - C81)*B81,0)</f>
        <v>0</v>
      </c>
    </row>
    <row r="82" customFormat="false" ht="12.8" hidden="false" customHeight="false" outlineLevel="0" collapsed="false">
      <c r="A82" s="182" t="n">
        <v>15</v>
      </c>
      <c r="B82" s="183" t="n">
        <v>1</v>
      </c>
      <c r="C82" s="183" t="n">
        <f aca="false">_xlfn.FLOOR.MATH(A82/B82)</f>
        <v>15</v>
      </c>
      <c r="D82" s="184" t="n">
        <f aca="false">ROUND(((A82/B82) - C82)*B82,0)</f>
        <v>0</v>
      </c>
    </row>
    <row r="83" customFormat="false" ht="12.8" hidden="false" customHeight="false" outlineLevel="0" collapsed="false">
      <c r="A83" s="212" t="n">
        <v>15</v>
      </c>
      <c r="B83" s="213" t="n">
        <f aca="false">B82+1</f>
        <v>2</v>
      </c>
      <c r="C83" s="0" t="n">
        <f aca="false">_xlfn.FLOOR.MATH(A83/B83)</f>
        <v>7</v>
      </c>
      <c r="D83" s="127" t="n">
        <f aca="false">ROUND(((A83/B83) - C83)*B83,0)</f>
        <v>1</v>
      </c>
    </row>
    <row r="84" customFormat="false" ht="12.8" hidden="false" customHeight="false" outlineLevel="0" collapsed="false">
      <c r="A84" s="212" t="n">
        <v>15</v>
      </c>
      <c r="B84" s="213" t="n">
        <f aca="false">B83+1</f>
        <v>3</v>
      </c>
      <c r="C84" s="0" t="n">
        <f aca="false">_xlfn.FLOOR.MATH(A84/B84)</f>
        <v>5</v>
      </c>
      <c r="D84" s="127" t="n">
        <f aca="false">ROUND(((A84/B84) - C84)*B84,0)</f>
        <v>0</v>
      </c>
    </row>
    <row r="85" customFormat="false" ht="12.8" hidden="false" customHeight="false" outlineLevel="0" collapsed="false">
      <c r="A85" s="212" t="n">
        <v>15</v>
      </c>
      <c r="B85" s="213" t="n">
        <f aca="false">B84+1</f>
        <v>4</v>
      </c>
      <c r="C85" s="0" t="n">
        <f aca="false">_xlfn.FLOOR.MATH(A85/B85)</f>
        <v>3</v>
      </c>
      <c r="D85" s="127" t="n">
        <f aca="false">ROUND(((A85/B85) - C85)*B85,0)</f>
        <v>3</v>
      </c>
    </row>
    <row r="86" customFormat="false" ht="12.8" hidden="false" customHeight="false" outlineLevel="0" collapsed="false">
      <c r="A86" s="212" t="n">
        <v>15</v>
      </c>
      <c r="B86" s="213" t="n">
        <f aca="false">B85+1</f>
        <v>5</v>
      </c>
      <c r="C86" s="0" t="n">
        <f aca="false">_xlfn.FLOOR.MATH(A86/B86)</f>
        <v>3</v>
      </c>
      <c r="D86" s="127" t="n">
        <f aca="false">ROUND(((A86/B86) - C86)*B86,0)</f>
        <v>0</v>
      </c>
    </row>
    <row r="87" customFormat="false" ht="12.8" hidden="false" customHeight="false" outlineLevel="0" collapsed="false">
      <c r="A87" s="212" t="n">
        <v>15</v>
      </c>
      <c r="B87" s="213" t="n">
        <f aca="false">B86+1</f>
        <v>6</v>
      </c>
      <c r="C87" s="0" t="n">
        <f aca="false">_xlfn.FLOOR.MATH(A87/B87)</f>
        <v>2</v>
      </c>
      <c r="D87" s="127" t="n">
        <f aca="false">ROUND(((A87/B87) - C87)*B87,0)</f>
        <v>3</v>
      </c>
    </row>
    <row r="88" customFormat="false" ht="12.8" hidden="false" customHeight="false" outlineLevel="0" collapsed="false">
      <c r="A88" s="212" t="n">
        <v>15</v>
      </c>
      <c r="B88" s="213" t="n">
        <f aca="false">B87+1</f>
        <v>7</v>
      </c>
      <c r="C88" s="0" t="n">
        <f aca="false">_xlfn.FLOOR.MATH(A88/B88)</f>
        <v>2</v>
      </c>
      <c r="D88" s="127" t="n">
        <f aca="false">ROUND(((A88/B88) - C88)*B88,0)</f>
        <v>1</v>
      </c>
    </row>
    <row r="89" customFormat="false" ht="12.8" hidden="false" customHeight="false" outlineLevel="0" collapsed="false">
      <c r="A89" s="212" t="n">
        <v>15</v>
      </c>
      <c r="B89" s="213" t="n">
        <f aca="false">B88+1</f>
        <v>8</v>
      </c>
      <c r="C89" s="0" t="n">
        <f aca="false">_xlfn.FLOOR.MATH(A89/B89)</f>
        <v>1</v>
      </c>
      <c r="D89" s="127" t="n">
        <f aca="false">ROUND(((A89/B89) - C89)*B89,0)</f>
        <v>7</v>
      </c>
    </row>
    <row r="90" customFormat="false" ht="12.8" hidden="false" customHeight="false" outlineLevel="0" collapsed="false">
      <c r="A90" s="212" t="n">
        <v>15</v>
      </c>
      <c r="B90" s="213" t="n">
        <f aca="false">B89+1</f>
        <v>9</v>
      </c>
      <c r="C90" s="0" t="n">
        <f aca="false">_xlfn.FLOOR.MATH(A90/B90)</f>
        <v>1</v>
      </c>
      <c r="D90" s="127" t="n">
        <f aca="false">ROUND(((A90/B90) - C90)*B90,0)</f>
        <v>6</v>
      </c>
    </row>
    <row r="91" customFormat="false" ht="12.8" hidden="false" customHeight="false" outlineLevel="0" collapsed="false">
      <c r="A91" s="212" t="n">
        <v>15</v>
      </c>
      <c r="B91" s="213" t="n">
        <f aca="false">B90+1</f>
        <v>10</v>
      </c>
      <c r="C91" s="0" t="n">
        <f aca="false">_xlfn.FLOOR.MATH(A91/B91)</f>
        <v>1</v>
      </c>
      <c r="D91" s="127" t="n">
        <f aca="false">ROUND(((A91/B91) - C91)*B91,0)</f>
        <v>5</v>
      </c>
    </row>
    <row r="92" customFormat="false" ht="12.8" hidden="false" customHeight="false" outlineLevel="0" collapsed="false">
      <c r="A92" s="212" t="n">
        <v>15</v>
      </c>
      <c r="B92" s="213" t="n">
        <f aca="false">B91+1</f>
        <v>11</v>
      </c>
      <c r="C92" s="0" t="n">
        <f aca="false">_xlfn.FLOOR.MATH(A92/B92)</f>
        <v>1</v>
      </c>
      <c r="D92" s="127" t="n">
        <f aca="false">ROUND(((A92/B92) - C92)*B92,0)</f>
        <v>4</v>
      </c>
    </row>
    <row r="93" customFormat="false" ht="12.8" hidden="false" customHeight="false" outlineLevel="0" collapsed="false">
      <c r="A93" s="212" t="n">
        <v>15</v>
      </c>
      <c r="B93" s="213" t="n">
        <f aca="false">B92+1</f>
        <v>12</v>
      </c>
      <c r="C93" s="0" t="n">
        <f aca="false">_xlfn.FLOOR.MATH(A93/B93)</f>
        <v>1</v>
      </c>
      <c r="D93" s="127" t="n">
        <f aca="false">ROUND(((A93/B93) - C93)*B93,0)</f>
        <v>3</v>
      </c>
    </row>
    <row r="94" customFormat="false" ht="12.8" hidden="false" customHeight="false" outlineLevel="0" collapsed="false">
      <c r="A94" s="212" t="n">
        <v>15</v>
      </c>
      <c r="B94" s="213" t="n">
        <f aca="false">B93+1</f>
        <v>13</v>
      </c>
      <c r="C94" s="0" t="n">
        <f aca="false">_xlfn.FLOOR.MATH(A94/B94)</f>
        <v>1</v>
      </c>
      <c r="D94" s="127" t="n">
        <f aca="false">ROUND(((A94/B94) - C94)*B94,0)</f>
        <v>2</v>
      </c>
    </row>
    <row r="95" customFormat="false" ht="12.8" hidden="false" customHeight="false" outlineLevel="0" collapsed="false">
      <c r="A95" s="212" t="n">
        <v>15</v>
      </c>
      <c r="B95" s="213" t="n">
        <f aca="false">B94+1</f>
        <v>14</v>
      </c>
      <c r="C95" s="0" t="n">
        <f aca="false">_xlfn.FLOOR.MATH(A95/B95)</f>
        <v>1</v>
      </c>
      <c r="D95" s="127" t="n">
        <f aca="false">ROUND(((A95/B95) - C95)*B95,0)</f>
        <v>1</v>
      </c>
    </row>
    <row r="96" customFormat="false" ht="12.8" hidden="false" customHeight="false" outlineLevel="0" collapsed="false">
      <c r="A96" s="212" t="n">
        <v>15</v>
      </c>
      <c r="B96" s="213" t="n">
        <f aca="false">B95+1</f>
        <v>15</v>
      </c>
      <c r="C96" s="0" t="n">
        <f aca="false">_xlfn.FLOOR.MATH(A96/B96)</f>
        <v>1</v>
      </c>
      <c r="D96" s="127" t="n">
        <f aca="false">ROUND(((A96/B96) - C96)*B96,0)</f>
        <v>0</v>
      </c>
    </row>
    <row r="97" customFormat="false" ht="12.8" hidden="false" customHeight="false" outlineLevel="0" collapsed="false">
      <c r="A97" s="189" t="n">
        <v>15</v>
      </c>
      <c r="B97" s="190" t="n">
        <f aca="false">B96+1</f>
        <v>16</v>
      </c>
      <c r="C97" s="190" t="n">
        <f aca="false">_xlfn.FLOOR.MATH(A97/B97)</f>
        <v>0</v>
      </c>
      <c r="D97" s="191" t="n">
        <f aca="false">ROUND(((A97/B97) - C97)*B97,0)</f>
        <v>15</v>
      </c>
    </row>
    <row r="98" customFormat="false" ht="12.8" hidden="false" customHeight="false" outlineLevel="0" collapsed="false">
      <c r="A98" s="182" t="n">
        <v>14</v>
      </c>
      <c r="B98" s="183" t="n">
        <v>1</v>
      </c>
      <c r="C98" s="183" t="n">
        <f aca="false">_xlfn.FLOOR.MATH(A98/B98)</f>
        <v>14</v>
      </c>
      <c r="D98" s="184" t="n">
        <f aca="false">ROUND(((A98/B98) - C98)*B98,0)</f>
        <v>0</v>
      </c>
    </row>
    <row r="99" customFormat="false" ht="12.8" hidden="false" customHeight="false" outlineLevel="0" collapsed="false">
      <c r="A99" s="212" t="n">
        <v>14</v>
      </c>
      <c r="B99" s="0" t="n">
        <f aca="false">B98+1</f>
        <v>2</v>
      </c>
      <c r="C99" s="0" t="n">
        <f aca="false">_xlfn.FLOOR.MATH(A99/B99)</f>
        <v>7</v>
      </c>
      <c r="D99" s="127" t="n">
        <f aca="false">ROUND(((A99/B99) - C99)*B99,0)</f>
        <v>0</v>
      </c>
    </row>
    <row r="100" customFormat="false" ht="12.8" hidden="false" customHeight="false" outlineLevel="0" collapsed="false">
      <c r="A100" s="212" t="n">
        <v>14</v>
      </c>
      <c r="B100" s="0" t="n">
        <f aca="false">B99+1</f>
        <v>3</v>
      </c>
      <c r="C100" s="0" t="n">
        <f aca="false">_xlfn.FLOOR.MATH(A100/B100)</f>
        <v>4</v>
      </c>
      <c r="D100" s="127" t="n">
        <f aca="false">ROUND(((A100/B100) - C100)*B100,0)</f>
        <v>2</v>
      </c>
    </row>
    <row r="101" customFormat="false" ht="12.8" hidden="false" customHeight="false" outlineLevel="0" collapsed="false">
      <c r="A101" s="212" t="n">
        <v>14</v>
      </c>
      <c r="B101" s="0" t="n">
        <f aca="false">B100+1</f>
        <v>4</v>
      </c>
      <c r="C101" s="0" t="n">
        <f aca="false">_xlfn.FLOOR.MATH(A101/B101)</f>
        <v>3</v>
      </c>
      <c r="D101" s="127" t="n">
        <f aca="false">ROUND(((A101/B101) - C101)*B101,0)</f>
        <v>2</v>
      </c>
    </row>
    <row r="102" customFormat="false" ht="12.8" hidden="false" customHeight="false" outlineLevel="0" collapsed="false">
      <c r="A102" s="212" t="n">
        <v>14</v>
      </c>
      <c r="B102" s="0" t="n">
        <f aca="false">B101+1</f>
        <v>5</v>
      </c>
      <c r="C102" s="0" t="n">
        <f aca="false">_xlfn.FLOOR.MATH(A102/B102)</f>
        <v>2</v>
      </c>
      <c r="D102" s="127" t="n">
        <f aca="false">ROUND(((A102/B102) - C102)*B102,0)</f>
        <v>4</v>
      </c>
    </row>
    <row r="103" customFormat="false" ht="12.8" hidden="false" customHeight="false" outlineLevel="0" collapsed="false">
      <c r="A103" s="212" t="n">
        <v>14</v>
      </c>
      <c r="B103" s="0" t="n">
        <f aca="false">B102+1</f>
        <v>6</v>
      </c>
      <c r="C103" s="0" t="n">
        <f aca="false">_xlfn.FLOOR.MATH(A103/B103)</f>
        <v>2</v>
      </c>
      <c r="D103" s="127" t="n">
        <f aca="false">ROUND(((A103/B103) - C103)*B103,0)</f>
        <v>2</v>
      </c>
    </row>
    <row r="104" customFormat="false" ht="12.8" hidden="false" customHeight="false" outlineLevel="0" collapsed="false">
      <c r="A104" s="212" t="n">
        <v>14</v>
      </c>
      <c r="B104" s="0" t="n">
        <f aca="false">B103+1</f>
        <v>7</v>
      </c>
      <c r="C104" s="0" t="n">
        <f aca="false">_xlfn.FLOOR.MATH(A104/B104)</f>
        <v>2</v>
      </c>
      <c r="D104" s="127" t="n">
        <f aca="false">ROUND(((A104/B104) - C104)*B104,0)</f>
        <v>0</v>
      </c>
    </row>
    <row r="105" customFormat="false" ht="12.8" hidden="false" customHeight="false" outlineLevel="0" collapsed="false">
      <c r="A105" s="212" t="n">
        <v>14</v>
      </c>
      <c r="B105" s="0" t="n">
        <f aca="false">B104+1</f>
        <v>8</v>
      </c>
      <c r="C105" s="0" t="n">
        <f aca="false">_xlfn.FLOOR.MATH(A105/B105)</f>
        <v>1</v>
      </c>
      <c r="D105" s="127" t="n">
        <f aca="false">ROUND(((A105/B105) - C105)*B105,0)</f>
        <v>6</v>
      </c>
    </row>
    <row r="106" customFormat="false" ht="12.8" hidden="false" customHeight="false" outlineLevel="0" collapsed="false">
      <c r="A106" s="212" t="n">
        <v>14</v>
      </c>
      <c r="B106" s="0" t="n">
        <f aca="false">B105+1</f>
        <v>9</v>
      </c>
      <c r="C106" s="0" t="n">
        <f aca="false">_xlfn.FLOOR.MATH(A106/B106)</f>
        <v>1</v>
      </c>
      <c r="D106" s="127" t="n">
        <f aca="false">ROUND(((A106/B106) - C106)*B106,0)</f>
        <v>5</v>
      </c>
    </row>
    <row r="107" customFormat="false" ht="12.8" hidden="false" customHeight="false" outlineLevel="0" collapsed="false">
      <c r="A107" s="212" t="n">
        <v>14</v>
      </c>
      <c r="B107" s="0" t="n">
        <f aca="false">B106+1</f>
        <v>10</v>
      </c>
      <c r="C107" s="0" t="n">
        <f aca="false">_xlfn.FLOOR.MATH(A107/B107)</f>
        <v>1</v>
      </c>
      <c r="D107" s="127" t="n">
        <f aca="false">ROUND(((A107/B107) - C107)*B107,0)</f>
        <v>4</v>
      </c>
    </row>
    <row r="108" customFormat="false" ht="12.8" hidden="false" customHeight="false" outlineLevel="0" collapsed="false">
      <c r="A108" s="212" t="n">
        <v>14</v>
      </c>
      <c r="B108" s="0" t="n">
        <f aca="false">B107+1</f>
        <v>11</v>
      </c>
      <c r="C108" s="0" t="n">
        <f aca="false">_xlfn.FLOOR.MATH(A108/B108)</f>
        <v>1</v>
      </c>
      <c r="D108" s="127" t="n">
        <f aca="false">ROUND(((A108/B108) - C108)*B108,0)</f>
        <v>3</v>
      </c>
    </row>
    <row r="109" customFormat="false" ht="12.8" hidden="false" customHeight="false" outlineLevel="0" collapsed="false">
      <c r="A109" s="212" t="n">
        <v>14</v>
      </c>
      <c r="B109" s="0" t="n">
        <f aca="false">B108+1</f>
        <v>12</v>
      </c>
      <c r="C109" s="0" t="n">
        <f aca="false">_xlfn.FLOOR.MATH(A109/B109)</f>
        <v>1</v>
      </c>
      <c r="D109" s="127" t="n">
        <f aca="false">ROUND(((A109/B109) - C109)*B109,0)</f>
        <v>2</v>
      </c>
    </row>
    <row r="110" customFormat="false" ht="12.8" hidden="false" customHeight="false" outlineLevel="0" collapsed="false">
      <c r="A110" s="212" t="n">
        <v>14</v>
      </c>
      <c r="B110" s="0" t="n">
        <f aca="false">B109+1</f>
        <v>13</v>
      </c>
      <c r="C110" s="0" t="n">
        <f aca="false">_xlfn.FLOOR.MATH(A110/B110)</f>
        <v>1</v>
      </c>
      <c r="D110" s="127" t="n">
        <f aca="false">ROUND(((A110/B110) - C110)*B110,0)</f>
        <v>1</v>
      </c>
    </row>
    <row r="111" customFormat="false" ht="12.8" hidden="false" customHeight="false" outlineLevel="0" collapsed="false">
      <c r="A111" s="212" t="n">
        <v>14</v>
      </c>
      <c r="B111" s="0" t="n">
        <f aca="false">B110+1</f>
        <v>14</v>
      </c>
      <c r="C111" s="0" t="n">
        <f aca="false">_xlfn.FLOOR.MATH(A111/B111)</f>
        <v>1</v>
      </c>
      <c r="D111" s="127" t="n">
        <f aca="false">ROUND(((A111/B111) - C111)*B111,0)</f>
        <v>0</v>
      </c>
    </row>
    <row r="112" customFormat="false" ht="12.8" hidden="false" customHeight="false" outlineLevel="0" collapsed="false">
      <c r="A112" s="212" t="n">
        <v>14</v>
      </c>
      <c r="B112" s="0" t="n">
        <f aca="false">B111+1</f>
        <v>15</v>
      </c>
      <c r="C112" s="0" t="n">
        <f aca="false">_xlfn.FLOOR.MATH(A112/B112)</f>
        <v>0</v>
      </c>
      <c r="D112" s="127" t="n">
        <f aca="false">ROUND(((A112/B112) - C112)*B112,0)</f>
        <v>14</v>
      </c>
    </row>
    <row r="113" customFormat="false" ht="12.8" hidden="false" customHeight="false" outlineLevel="0" collapsed="false">
      <c r="A113" s="189" t="n">
        <v>14</v>
      </c>
      <c r="B113" s="190" t="n">
        <f aca="false">B112+1</f>
        <v>16</v>
      </c>
      <c r="C113" s="190" t="n">
        <f aca="false">_xlfn.FLOOR.MATH(A113/B113)</f>
        <v>0</v>
      </c>
      <c r="D113" s="191" t="n">
        <f aca="false">ROUND(((A113/B113) - C113)*B113,0)</f>
        <v>14</v>
      </c>
    </row>
    <row r="114" customFormat="false" ht="12.8" hidden="false" customHeight="false" outlineLevel="0" collapsed="false">
      <c r="A114" s="182" t="n">
        <v>13</v>
      </c>
      <c r="B114" s="183" t="n">
        <v>1</v>
      </c>
      <c r="C114" s="183" t="n">
        <f aca="false">_xlfn.FLOOR.MATH(A114/B114)</f>
        <v>13</v>
      </c>
      <c r="D114" s="184" t="n">
        <f aca="false">ROUND(((A114/B114) - C114)*B114,0)</f>
        <v>0</v>
      </c>
    </row>
    <row r="115" customFormat="false" ht="12.8" hidden="false" customHeight="false" outlineLevel="0" collapsed="false">
      <c r="A115" s="212" t="n">
        <v>13</v>
      </c>
      <c r="B115" s="0" t="n">
        <f aca="false">B114+1</f>
        <v>2</v>
      </c>
      <c r="C115" s="0" t="n">
        <f aca="false">_xlfn.FLOOR.MATH(A115/B115)</f>
        <v>6</v>
      </c>
      <c r="D115" s="127" t="n">
        <f aca="false">ROUND(((A115/B115) - C115)*B115,0)</f>
        <v>1</v>
      </c>
    </row>
    <row r="116" customFormat="false" ht="12.8" hidden="false" customHeight="false" outlineLevel="0" collapsed="false">
      <c r="A116" s="212" t="n">
        <v>13</v>
      </c>
      <c r="B116" s="0" t="n">
        <f aca="false">B115+1</f>
        <v>3</v>
      </c>
      <c r="C116" s="0" t="n">
        <f aca="false">_xlfn.FLOOR.MATH(A116/B116)</f>
        <v>4</v>
      </c>
      <c r="D116" s="127" t="n">
        <f aca="false">ROUND(((A116/B116) - C116)*B116,0)</f>
        <v>1</v>
      </c>
    </row>
    <row r="117" customFormat="false" ht="12.8" hidden="false" customHeight="false" outlineLevel="0" collapsed="false">
      <c r="A117" s="212" t="n">
        <v>13</v>
      </c>
      <c r="B117" s="0" t="n">
        <f aca="false">B116+1</f>
        <v>4</v>
      </c>
      <c r="C117" s="0" t="n">
        <f aca="false">_xlfn.FLOOR.MATH(A117/B117)</f>
        <v>3</v>
      </c>
      <c r="D117" s="127" t="n">
        <f aca="false">ROUND(((A117/B117) - C117)*B117,0)</f>
        <v>1</v>
      </c>
    </row>
    <row r="118" customFormat="false" ht="12.8" hidden="false" customHeight="false" outlineLevel="0" collapsed="false">
      <c r="A118" s="212" t="n">
        <v>13</v>
      </c>
      <c r="B118" s="0" t="n">
        <f aca="false">B117+1</f>
        <v>5</v>
      </c>
      <c r="C118" s="0" t="n">
        <f aca="false">_xlfn.FLOOR.MATH(A118/B118)</f>
        <v>2</v>
      </c>
      <c r="D118" s="127" t="n">
        <f aca="false">ROUND(((A118/B118) - C118)*B118,0)</f>
        <v>3</v>
      </c>
    </row>
    <row r="119" customFormat="false" ht="12.8" hidden="false" customHeight="false" outlineLevel="0" collapsed="false">
      <c r="A119" s="212" t="n">
        <v>13</v>
      </c>
      <c r="B119" s="0" t="n">
        <f aca="false">B118+1</f>
        <v>6</v>
      </c>
      <c r="C119" s="0" t="n">
        <f aca="false">_xlfn.FLOOR.MATH(A119/B119)</f>
        <v>2</v>
      </c>
      <c r="D119" s="127" t="n">
        <f aca="false">ROUND(((A119/B119) - C119)*B119,0)</f>
        <v>1</v>
      </c>
    </row>
    <row r="120" customFormat="false" ht="12.8" hidden="false" customHeight="false" outlineLevel="0" collapsed="false">
      <c r="A120" s="212" t="n">
        <v>13</v>
      </c>
      <c r="B120" s="0" t="n">
        <f aca="false">B119+1</f>
        <v>7</v>
      </c>
      <c r="C120" s="0" t="n">
        <f aca="false">_xlfn.FLOOR.MATH(A120/B120)</f>
        <v>1</v>
      </c>
      <c r="D120" s="127" t="n">
        <f aca="false">ROUND(((A120/B120) - C120)*B120,0)</f>
        <v>6</v>
      </c>
    </row>
    <row r="121" customFormat="false" ht="12.8" hidden="false" customHeight="false" outlineLevel="0" collapsed="false">
      <c r="A121" s="212" t="n">
        <v>13</v>
      </c>
      <c r="B121" s="0" t="n">
        <f aca="false">B120+1</f>
        <v>8</v>
      </c>
      <c r="C121" s="0" t="n">
        <f aca="false">_xlfn.FLOOR.MATH(A121/B121)</f>
        <v>1</v>
      </c>
      <c r="D121" s="127" t="n">
        <f aca="false">ROUND(((A121/B121) - C121)*B121,0)</f>
        <v>5</v>
      </c>
    </row>
    <row r="122" customFormat="false" ht="12.8" hidden="false" customHeight="false" outlineLevel="0" collapsed="false">
      <c r="A122" s="212" t="n">
        <v>13</v>
      </c>
      <c r="B122" s="0" t="n">
        <f aca="false">B121+1</f>
        <v>9</v>
      </c>
      <c r="C122" s="0" t="n">
        <f aca="false">_xlfn.FLOOR.MATH(A122/B122)</f>
        <v>1</v>
      </c>
      <c r="D122" s="127" t="n">
        <f aca="false">ROUND(((A122/B122) - C122)*B122,0)</f>
        <v>4</v>
      </c>
    </row>
    <row r="123" customFormat="false" ht="12.8" hidden="false" customHeight="false" outlineLevel="0" collapsed="false">
      <c r="A123" s="212" t="n">
        <v>13</v>
      </c>
      <c r="B123" s="0" t="n">
        <f aca="false">B122+1</f>
        <v>10</v>
      </c>
      <c r="C123" s="0" t="n">
        <f aca="false">_xlfn.FLOOR.MATH(A123/B123)</f>
        <v>1</v>
      </c>
      <c r="D123" s="127" t="n">
        <f aca="false">ROUND(((A123/B123) - C123)*B123,0)</f>
        <v>3</v>
      </c>
    </row>
    <row r="124" customFormat="false" ht="12.8" hidden="false" customHeight="false" outlineLevel="0" collapsed="false">
      <c r="A124" s="212" t="n">
        <v>13</v>
      </c>
      <c r="B124" s="0" t="n">
        <f aca="false">B123+1</f>
        <v>11</v>
      </c>
      <c r="C124" s="0" t="n">
        <f aca="false">_xlfn.FLOOR.MATH(A124/B124)</f>
        <v>1</v>
      </c>
      <c r="D124" s="127" t="n">
        <f aca="false">ROUND(((A124/B124) - C124)*B124,0)</f>
        <v>2</v>
      </c>
    </row>
    <row r="125" customFormat="false" ht="12.8" hidden="false" customHeight="false" outlineLevel="0" collapsed="false">
      <c r="A125" s="212" t="n">
        <v>13</v>
      </c>
      <c r="B125" s="0" t="n">
        <f aca="false">B124+1</f>
        <v>12</v>
      </c>
      <c r="C125" s="0" t="n">
        <f aca="false">_xlfn.FLOOR.MATH(A125/B125)</f>
        <v>1</v>
      </c>
      <c r="D125" s="127" t="n">
        <f aca="false">ROUND(((A125/B125) - C125)*B125,0)</f>
        <v>1</v>
      </c>
    </row>
    <row r="126" customFormat="false" ht="12.8" hidden="false" customHeight="false" outlineLevel="0" collapsed="false">
      <c r="A126" s="212" t="n">
        <v>13</v>
      </c>
      <c r="B126" s="0" t="n">
        <f aca="false">B125+1</f>
        <v>13</v>
      </c>
      <c r="C126" s="0" t="n">
        <f aca="false">_xlfn.FLOOR.MATH(A126/B126)</f>
        <v>1</v>
      </c>
      <c r="D126" s="127" t="n">
        <f aca="false">ROUND(((A126/B126) - C126)*B126,0)</f>
        <v>0</v>
      </c>
    </row>
    <row r="127" customFormat="false" ht="12.8" hidden="false" customHeight="false" outlineLevel="0" collapsed="false">
      <c r="A127" s="212" t="n">
        <v>13</v>
      </c>
      <c r="B127" s="0" t="n">
        <f aca="false">B126+1</f>
        <v>14</v>
      </c>
      <c r="C127" s="0" t="n">
        <f aca="false">_xlfn.FLOOR.MATH(A127/B127)</f>
        <v>0</v>
      </c>
      <c r="D127" s="127" t="n">
        <f aca="false">ROUND(((A127/B127) - C127)*B127,0)</f>
        <v>13</v>
      </c>
    </row>
    <row r="128" customFormat="false" ht="12.8" hidden="false" customHeight="false" outlineLevel="0" collapsed="false">
      <c r="A128" s="212" t="n">
        <v>13</v>
      </c>
      <c r="B128" s="0" t="n">
        <f aca="false">B127+1</f>
        <v>15</v>
      </c>
      <c r="C128" s="0" t="n">
        <f aca="false">_xlfn.FLOOR.MATH(A128/B128)</f>
        <v>0</v>
      </c>
      <c r="D128" s="127" t="n">
        <f aca="false">ROUND(((A128/B128) - C128)*B128,0)</f>
        <v>13</v>
      </c>
    </row>
    <row r="129" customFormat="false" ht="12.8" hidden="false" customHeight="false" outlineLevel="0" collapsed="false">
      <c r="A129" s="189" t="n">
        <v>13</v>
      </c>
      <c r="B129" s="190" t="n">
        <f aca="false">B128+1</f>
        <v>16</v>
      </c>
      <c r="C129" s="190" t="n">
        <f aca="false">_xlfn.FLOOR.MATH(A129/B129)</f>
        <v>0</v>
      </c>
      <c r="D129" s="191" t="n">
        <f aca="false">ROUND(((A129/B129) - C129)*B129,0)</f>
        <v>13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2026-09-09T08:49:40Z</dcterms:created>
  <dc:creator/>
  <dc:description/>
  <dc:language>en-GB</dc:language>
  <cp:lastModifiedBy/>
  <dcterms:modified xsi:type="dcterms:W3CDTF">2026-10-22T22:21:35Z</dcterms:modified>
  <cp:revision>508</cp:revision>
  <dc:subject/>
  <dc:title/>
</cp:coreProperties>
</file>